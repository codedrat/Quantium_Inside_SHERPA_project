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_data" sheetId="1" r:id="rId5"/>
    <sheet state="visible" name="pretrial_transactions" sheetId="2" r:id="rId6"/>
    <sheet state="visible" name="avg_qty_master" sheetId="3" r:id="rId7"/>
    <sheet state="visible" name="Avg_price_by_Affluence" sheetId="4" r:id="rId8"/>
    <sheet state="visible" name="Avg_qty_by_affluence" sheetId="5" r:id="rId9"/>
    <sheet state="visible" name="customer_counts" sheetId="6" r:id="rId10"/>
    <sheet state="visible" name="customer_by_affluence" sheetId="7" r:id="rId11"/>
    <sheet state="visible" name="trial_vs_control_77" sheetId="8" r:id="rId12"/>
    <sheet state="visible" name="posttrial_vs_control_77" sheetId="9" r:id="rId13"/>
  </sheets>
  <definedNames/>
  <calcPr/>
  <pivotCaches>
    <pivotCache cacheId="0" r:id="rId14"/>
    <pivotCache cacheId="1" r:id="rId15"/>
    <pivotCache cacheId="2" r:id="rId16"/>
  </pivotCaches>
</workbook>
</file>

<file path=xl/sharedStrings.xml><?xml version="1.0" encoding="utf-8"?>
<sst xmlns="http://schemas.openxmlformats.org/spreadsheetml/2006/main" count="159" uniqueCount="33">
  <si>
    <t>Date</t>
  </si>
  <si>
    <t>N</t>
  </si>
  <si>
    <t>DATE</t>
  </si>
  <si>
    <t>LIFESTAGE</t>
  </si>
  <si>
    <t>PREMIUM_CUSTOMER</t>
  </si>
  <si>
    <t>PROD_QTY</t>
  </si>
  <si>
    <t>LYLTY_CARD_NBR</t>
  </si>
  <si>
    <t>AVG_QTY</t>
  </si>
  <si>
    <t>TOT_SALES</t>
  </si>
  <si>
    <t>AVG_PRICE</t>
  </si>
  <si>
    <t>MIDAGE SINGLES/COUPLES</t>
  </si>
  <si>
    <t>Budget</t>
  </si>
  <si>
    <t>Mainstream</t>
  </si>
  <si>
    <t>Premium</t>
  </si>
  <si>
    <t>NEW FAMILIES</t>
  </si>
  <si>
    <t>OLDER FAMILIES</t>
  </si>
  <si>
    <t>OLDER SINGLES/COUPLES</t>
  </si>
  <si>
    <t>RETIREES</t>
  </si>
  <si>
    <t>YOUNG FAMILIES</t>
  </si>
  <si>
    <t>YOUNG SINGLES/COUPLES</t>
  </si>
  <si>
    <t>SUM of AVG_PRICE</t>
  </si>
  <si>
    <t>Grand Total</t>
  </si>
  <si>
    <t>SUM of AVG_QTY</t>
  </si>
  <si>
    <t>SUM of LYLTY_CARD_NBR</t>
  </si>
  <si>
    <t>Month</t>
  </si>
  <si>
    <t>Trial_77_Sales</t>
  </si>
  <si>
    <t>Control_233_Sales</t>
  </si>
  <si>
    <t>Trial_77_Customers</t>
  </si>
  <si>
    <t>Control_233_Customers</t>
  </si>
  <si>
    <t>Trial Sales (77)</t>
  </si>
  <si>
    <t>Control Sales (233)</t>
  </si>
  <si>
    <t>Lower CI Bound</t>
  </si>
  <si>
    <t>Upper CI Bound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</si>
</sst>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mm&quot; &quot;yyyy"/>
    <numFmt numFmtId="166" formatCode="mmm&quot;  &quot;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5" xfId="0" applyFont="1" applyNumberFormat="1"/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  <a:r>
              <a:rPr b="0">
                <a:solidFill>
                  <a:srgbClr val="999999"/>
                </a:solidFill>
                <a:latin typeface="Roboto"/>
              </a:rPr>
              <a:t>December 2018 Transactions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december_data!$B$2</c:f>
            </c:strRef>
          </c:tx>
          <c:spPr>
            <a:ln cmpd="sng">
              <a:solidFill>
                <a:srgbClr val="3F68A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december_data!$C$3:$C$32</c:f>
            </c:strRef>
          </c:cat>
          <c:val>
            <c:numRef>
              <c:f>december_data!$B$3:$B$32</c:f>
              <c:numCache/>
            </c:numRef>
          </c:val>
          <c:smooth val="0"/>
        </c:ser>
        <c:axId val="1868499102"/>
        <c:axId val="865079838"/>
      </c:lineChart>
      <c:catAx>
        <c:axId val="1868499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5079838"/>
      </c:catAx>
      <c:valAx>
        <c:axId val="8650798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Transactions</a:t>
                </a:r>
              </a:p>
            </c:rich>
          </c:tx>
          <c:layout>
            <c:manualLayout>
              <c:xMode val="edge"/>
              <c:yMode val="edge"/>
              <c:x val="0.03091666666666667"/>
              <c:y val="0.1345462713387241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84991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 vs.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pretrial_transactions!$A$2:$A$216</c:f>
            </c:strRef>
          </c:cat>
          <c:val>
            <c:numRef>
              <c:f>pretrial_transactions!$B$2:$B$216</c:f>
              <c:numCache/>
            </c:numRef>
          </c:val>
          <c:smooth val="0"/>
        </c:ser>
        <c:axId val="550788609"/>
        <c:axId val="78003785"/>
      </c:lineChart>
      <c:catAx>
        <c:axId val="5507886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003785"/>
      </c:catAx>
      <c:valAx>
        <c:axId val="780037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07886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  <a:r>
              <a:rPr b="0">
                <a:solidFill>
                  <a:srgbClr val="999999"/>
                </a:solidFill>
                <a:latin typeface="+mn-lt"/>
              </a:rPr>
              <a:t>Transactions by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pretrial_transactions!$B$1</c:f>
            </c:strRef>
          </c:tx>
          <c:spPr>
            <a:ln cmpd="sng">
              <a:solidFill>
                <a:srgbClr val="3F68A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pretrial_transactions!$A$2:$A$216</c:f>
            </c:strRef>
          </c:cat>
          <c:val>
            <c:numRef>
              <c:f>pretrial_transactions!$B$2:$B$216</c:f>
              <c:numCache/>
            </c:numRef>
          </c:val>
          <c:smooth val="0"/>
        </c:ser>
        <c:axId val="395739538"/>
        <c:axId val="1821274461"/>
      </c:lineChart>
      <c:catAx>
        <c:axId val="3957395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1274461"/>
      </c:catAx>
      <c:valAx>
        <c:axId val="18212744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Transactions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57395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Price Per Unit by Lifestage and Affluence</a:t>
            </a:r>
          </a:p>
        </c:rich>
      </c:tx>
      <c:layout>
        <c:manualLayout>
          <c:xMode val="edge"/>
          <c:yMode val="edge"/>
          <c:x val="0.036766467065868266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Avg_price_by_Affluence!$B$1:$B$2</c:f>
            </c:strRef>
          </c:tx>
          <c:spPr>
            <a:solidFill>
              <a:srgbClr val="386FAD"/>
            </a:solidFill>
            <a:ln cmpd="sng">
              <a:solidFill>
                <a:srgbClr val="000000"/>
              </a:solidFill>
            </a:ln>
          </c:spPr>
          <c:cat>
            <c:strRef>
              <c:f>Avg_price_by_Affluence!$A$3:$A$9</c:f>
            </c:strRef>
          </c:cat>
          <c:val>
            <c:numRef>
              <c:f>Avg_price_by_Affluence!$B$3:$B$9</c:f>
              <c:numCache/>
            </c:numRef>
          </c:val>
        </c:ser>
        <c:ser>
          <c:idx val="1"/>
          <c:order val="1"/>
          <c:tx>
            <c:strRef>
              <c:f>Avg_price_by_Affluence!$C$1:$C$2</c:f>
            </c:strRef>
          </c:tx>
          <c:spPr>
            <a:solidFill>
              <a:srgbClr val="EF6347"/>
            </a:solidFill>
            <a:ln cmpd="sng">
              <a:solidFill>
                <a:srgbClr val="000000"/>
              </a:solidFill>
            </a:ln>
          </c:spPr>
          <c:cat>
            <c:strRef>
              <c:f>Avg_price_by_Affluence!$A$3:$A$9</c:f>
            </c:strRef>
          </c:cat>
          <c:val>
            <c:numRef>
              <c:f>Avg_price_by_Affluence!$C$3:$C$9</c:f>
              <c:numCache/>
            </c:numRef>
          </c:val>
        </c:ser>
        <c:ser>
          <c:idx val="2"/>
          <c:order val="2"/>
          <c:tx>
            <c:strRef>
              <c:f>Avg_price_by_Affluence!$D$1:$D$2</c:f>
            </c:strRef>
          </c:tx>
          <c:spPr>
            <a:solidFill>
              <a:srgbClr val="EACC77"/>
            </a:solidFill>
            <a:ln cmpd="sng">
              <a:solidFill>
                <a:srgbClr val="000000"/>
              </a:solidFill>
            </a:ln>
          </c:spPr>
          <c:cat>
            <c:strRef>
              <c:f>Avg_price_by_Affluence!$A$3:$A$9</c:f>
            </c:strRef>
          </c:cat>
          <c:val>
            <c:numRef>
              <c:f>Avg_price_by_Affluence!$D$3:$D$9</c:f>
              <c:numCache/>
            </c:numRef>
          </c:val>
        </c:ser>
        <c:axId val="409741354"/>
        <c:axId val="1031455474"/>
      </c:barChart>
      <c:catAx>
        <c:axId val="4097413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031455474"/>
      </c:catAx>
      <c:valAx>
        <c:axId val="10314554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 Per Unit (USD)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97413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Product Quantity by Lifestage and Affluence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Avg_qty_by_affluence!$B$1:$B$2</c:f>
            </c:strRef>
          </c:tx>
          <c:spPr>
            <a:solidFill>
              <a:srgbClr val="386FAD"/>
            </a:solidFill>
            <a:ln cmpd="sng">
              <a:solidFill>
                <a:srgbClr val="000000"/>
              </a:solidFill>
            </a:ln>
          </c:spPr>
          <c:cat>
            <c:strRef>
              <c:f>Avg_qty_by_affluence!$A$3:$A$9</c:f>
            </c:strRef>
          </c:cat>
          <c:val>
            <c:numRef>
              <c:f>Avg_qty_by_affluence!$B$3:$B$9</c:f>
              <c:numCache/>
            </c:numRef>
          </c:val>
        </c:ser>
        <c:ser>
          <c:idx val="1"/>
          <c:order val="1"/>
          <c:tx>
            <c:strRef>
              <c:f>Avg_qty_by_affluence!$C$1:$C$2</c:f>
            </c:strRef>
          </c:tx>
          <c:spPr>
            <a:solidFill>
              <a:srgbClr val="EF6347"/>
            </a:solidFill>
            <a:ln cmpd="sng">
              <a:solidFill>
                <a:srgbClr val="000000"/>
              </a:solidFill>
            </a:ln>
          </c:spPr>
          <c:cat>
            <c:strRef>
              <c:f>Avg_qty_by_affluence!$A$3:$A$9</c:f>
            </c:strRef>
          </c:cat>
          <c:val>
            <c:numRef>
              <c:f>Avg_qty_by_affluence!$C$3:$C$9</c:f>
              <c:numCache/>
            </c:numRef>
          </c:val>
        </c:ser>
        <c:ser>
          <c:idx val="2"/>
          <c:order val="2"/>
          <c:tx>
            <c:strRef>
              <c:f>Avg_qty_by_affluence!$D$1:$D$2</c:f>
            </c:strRef>
          </c:tx>
          <c:spPr>
            <a:solidFill>
              <a:srgbClr val="EACC77"/>
            </a:solidFill>
            <a:ln cmpd="sng">
              <a:solidFill>
                <a:srgbClr val="000000"/>
              </a:solidFill>
            </a:ln>
          </c:spPr>
          <c:cat>
            <c:strRef>
              <c:f>Avg_qty_by_affluence!$A$3:$A$9</c:f>
            </c:strRef>
          </c:cat>
          <c:val>
            <c:numRef>
              <c:f>Avg_qty_by_affluence!$D$3:$D$9</c:f>
              <c:numCache/>
            </c:numRef>
          </c:val>
        </c:ser>
        <c:axId val="1628044822"/>
        <c:axId val="1216719942"/>
      </c:barChart>
      <c:catAx>
        <c:axId val="16280448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216719942"/>
      </c:catAx>
      <c:valAx>
        <c:axId val="12167199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80448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Customers by Affluence and Lifestage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customer_by_affluence!$B$1:$B$2</c:f>
            </c:strRef>
          </c:tx>
          <c:spPr>
            <a:solidFill>
              <a:srgbClr val="386FAD"/>
            </a:solidFill>
            <a:ln cmpd="sng">
              <a:solidFill>
                <a:srgbClr val="000000"/>
              </a:solidFill>
            </a:ln>
          </c:spPr>
          <c:cat>
            <c:strRef>
              <c:f>customer_by_affluence!$A$3:$A$9</c:f>
            </c:strRef>
          </c:cat>
          <c:val>
            <c:numRef>
              <c:f>customer_by_affluence!$B$3:$B$9</c:f>
              <c:numCache/>
            </c:numRef>
          </c:val>
        </c:ser>
        <c:ser>
          <c:idx val="1"/>
          <c:order val="1"/>
          <c:tx>
            <c:strRef>
              <c:f>customer_by_affluence!$C$1:$C$2</c:f>
            </c:strRef>
          </c:tx>
          <c:spPr>
            <a:solidFill>
              <a:srgbClr val="EF6347"/>
            </a:solidFill>
            <a:ln cmpd="sng">
              <a:solidFill>
                <a:srgbClr val="000000"/>
              </a:solidFill>
            </a:ln>
          </c:spPr>
          <c:cat>
            <c:strRef>
              <c:f>customer_by_affluence!$A$3:$A$9</c:f>
            </c:strRef>
          </c:cat>
          <c:val>
            <c:numRef>
              <c:f>customer_by_affluence!$C$3:$C$9</c:f>
              <c:numCache/>
            </c:numRef>
          </c:val>
        </c:ser>
        <c:ser>
          <c:idx val="2"/>
          <c:order val="2"/>
          <c:tx>
            <c:strRef>
              <c:f>customer_by_affluence!$D$1:$D$2</c:f>
            </c:strRef>
          </c:tx>
          <c:spPr>
            <a:solidFill>
              <a:srgbClr val="EACC77"/>
            </a:solidFill>
            <a:ln cmpd="sng">
              <a:solidFill>
                <a:srgbClr val="000000"/>
              </a:solidFill>
            </a:ln>
          </c:spPr>
          <c:cat>
            <c:strRef>
              <c:f>customer_by_affluence!$A$3:$A$9</c:f>
            </c:strRef>
          </c:cat>
          <c:val>
            <c:numRef>
              <c:f>customer_by_affluence!$D$3:$D$9</c:f>
              <c:numCache/>
            </c:numRef>
          </c:val>
        </c:ser>
        <c:overlap val="100"/>
        <c:axId val="1468088859"/>
        <c:axId val="1080363597"/>
      </c:barChart>
      <c:catAx>
        <c:axId val="1468088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0363597"/>
      </c:catAx>
      <c:valAx>
        <c:axId val="10803635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80888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Sales: Pre-Trial Comparison</a:t>
            </a:r>
          </a:p>
        </c:rich>
      </c:tx>
      <c:overlay val="0"/>
    </c:title>
    <c:plotArea>
      <c:layout/>
      <c:lineChart>
        <c:ser>
          <c:idx val="0"/>
          <c:order val="0"/>
          <c:tx>
            <c:v>Trial Store (77)</c:v>
          </c:tx>
          <c:spPr>
            <a:ln cmpd="sng">
              <a:solidFill>
                <a:srgbClr val="44D6A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trial_vs_control_77!$A$2:$A$8</c:f>
            </c:strRef>
          </c:cat>
          <c:val>
            <c:numRef>
              <c:f>trial_vs_control_77!$B$2:$B$8</c:f>
              <c:numCache/>
            </c:numRef>
          </c:val>
          <c:smooth val="0"/>
        </c:ser>
        <c:ser>
          <c:idx val="1"/>
          <c:order val="1"/>
          <c:tx>
            <c:v>Control Store (233)</c:v>
          </c:tx>
          <c:spPr>
            <a:ln cmpd="sng">
              <a:solidFill>
                <a:srgbClr val="EF9B4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trial_vs_control_77!$A$2:$A$8</c:f>
            </c:strRef>
          </c:cat>
          <c:val>
            <c:numRef>
              <c:f>trial_vs_control_77!$C$2:$C$8</c:f>
              <c:numCache/>
            </c:numRef>
          </c:val>
          <c:smooth val="0"/>
        </c:ser>
        <c:axId val="1127314255"/>
        <c:axId val="1035204068"/>
      </c:lineChart>
      <c:catAx>
        <c:axId val="1127314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5204068"/>
      </c:catAx>
      <c:valAx>
        <c:axId val="1035204068"/>
        <c:scaling>
          <c:orientation val="minMax"/>
          <c:min val="1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 (USD)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73142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Customers: Pre-Trial Comparison</a:t>
            </a:r>
          </a:p>
        </c:rich>
      </c:tx>
      <c:overlay val="0"/>
    </c:title>
    <c:plotArea>
      <c:layout/>
      <c:lineChart>
        <c:ser>
          <c:idx val="0"/>
          <c:order val="0"/>
          <c:tx>
            <c:v>Trial Store (77)</c:v>
          </c:tx>
          <c:spPr>
            <a:ln cmpd="sng">
              <a:solidFill>
                <a:srgbClr val="44D6A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trial_vs_control_77!$A$10:$A$16</c:f>
            </c:strRef>
          </c:cat>
          <c:val>
            <c:numRef>
              <c:f>trial_vs_control_77!$B$10:$B$16</c:f>
              <c:numCache/>
            </c:numRef>
          </c:val>
          <c:smooth val="0"/>
        </c:ser>
        <c:ser>
          <c:idx val="1"/>
          <c:order val="1"/>
          <c:tx>
            <c:v>Control Store (233)</c:v>
          </c:tx>
          <c:spPr>
            <a:ln cmpd="sng">
              <a:solidFill>
                <a:srgbClr val="EF9B47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trial_vs_control_77!$A$10:$A$16</c:f>
            </c:strRef>
          </c:cat>
          <c:val>
            <c:numRef>
              <c:f>trial_vs_control_77!$C$10:$C$16</c:f>
              <c:numCache/>
            </c:numRef>
          </c:val>
          <c:smooth val="0"/>
        </c:ser>
        <c:axId val="1610041255"/>
        <c:axId val="742229087"/>
      </c:lineChart>
      <c:catAx>
        <c:axId val="1610041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2229087"/>
      </c:catAx>
      <c:valAx>
        <c:axId val="742229087"/>
        <c:scaling>
          <c:orientation val="minMax"/>
          <c:min val="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Customers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00412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Sales: Trial Period Comparison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posttrial_vs_control_77!$B$1</c:f>
            </c:strRef>
          </c:tx>
          <c:spPr>
            <a:ln cmpd="sng">
              <a:solidFill>
                <a:srgbClr val="44D6A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posttrial_vs_control_77!$A$2:$A$7</c:f>
            </c:strRef>
          </c:cat>
          <c:val>
            <c:numRef>
              <c:f>posttrial_vs_control_77!$B$2:$B$7</c:f>
              <c:numCache/>
            </c:numRef>
          </c:val>
          <c:smooth val="0"/>
        </c:ser>
        <c:ser>
          <c:idx val="1"/>
          <c:order val="1"/>
          <c:tx>
            <c:strRef>
              <c:f>posttrial_vs_control_77!$C$1</c:f>
            </c:strRef>
          </c:tx>
          <c:spPr>
            <a:ln cmpd="sng">
              <a:solidFill>
                <a:srgbClr val="EF9B4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posttrial_vs_control_77!$A$2:$A$7</c:f>
            </c:strRef>
          </c:cat>
          <c:val>
            <c:numRef>
              <c:f>posttrial_vs_control_77!$C$2:$C$7</c:f>
              <c:numCache/>
            </c:numRef>
          </c:val>
          <c:smooth val="0"/>
        </c:ser>
        <c:ser>
          <c:idx val="2"/>
          <c:order val="2"/>
          <c:tx>
            <c:strRef>
              <c:f>posttrial_vs_control_77!$D$1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strRef>
              <c:f>posttrial_vs_control_77!$A$2:$A$7</c:f>
            </c:strRef>
          </c:cat>
          <c:val>
            <c:numRef>
              <c:f>posttrial_vs_control_77!$D$2:$D$7</c:f>
              <c:numCache/>
            </c:numRef>
          </c:val>
          <c:smooth val="0"/>
        </c:ser>
        <c:ser>
          <c:idx val="3"/>
          <c:order val="3"/>
          <c:tx>
            <c:strRef>
              <c:f>posttrial_vs_control_77!$E$1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strRef>
              <c:f>posttrial_vs_control_77!$A$2:$A$7</c:f>
            </c:strRef>
          </c:cat>
          <c:val>
            <c:numRef>
              <c:f>posttrial_vs_control_77!$E$2:$E$7</c:f>
              <c:numCache/>
            </c:numRef>
          </c:val>
          <c:smooth val="0"/>
        </c:ser>
        <c:axId val="653747790"/>
        <c:axId val="1192407528"/>
      </c:lineChart>
      <c:catAx>
        <c:axId val="653747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2407528"/>
      </c:catAx>
      <c:valAx>
        <c:axId val="11924075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 (USD)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37477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Customers: Trial Period Comparison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posttrial_vs_control_77!$B$8</c:f>
            </c:strRef>
          </c:tx>
          <c:spPr>
            <a:ln cmpd="sng">
              <a:solidFill>
                <a:srgbClr val="44D6A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posttrial_vs_control_77!$A$9:$A$14</c:f>
            </c:strRef>
          </c:cat>
          <c:val>
            <c:numRef>
              <c:f>posttrial_vs_control_77!$B$9:$B$14</c:f>
              <c:numCache/>
            </c:numRef>
          </c:val>
          <c:smooth val="0"/>
        </c:ser>
        <c:ser>
          <c:idx val="1"/>
          <c:order val="1"/>
          <c:tx>
            <c:strRef>
              <c:f>posttrial_vs_control_77!$C$8</c:f>
            </c:strRef>
          </c:tx>
          <c:spPr>
            <a:ln cmpd="sng">
              <a:solidFill>
                <a:srgbClr val="EF9B4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posttrial_vs_control_77!$A$9:$A$14</c:f>
            </c:strRef>
          </c:cat>
          <c:val>
            <c:numRef>
              <c:f>posttrial_vs_control_77!$C$9:$C$14</c:f>
              <c:numCache/>
            </c:numRef>
          </c:val>
          <c:smooth val="0"/>
        </c:ser>
        <c:ser>
          <c:idx val="2"/>
          <c:order val="2"/>
          <c:tx>
            <c:strRef>
              <c:f>posttrial_vs_control_77!$D$8</c:f>
            </c:strRef>
          </c:tx>
          <c:spPr>
            <a:ln cmpd="sng">
              <a:solidFill>
                <a:srgbClr val="B7B7B7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strRef>
              <c:f>posttrial_vs_control_77!$A$9:$A$14</c:f>
            </c:strRef>
          </c:cat>
          <c:val>
            <c:numRef>
              <c:f>posttrial_vs_control_77!$D$9:$D$14</c:f>
              <c:numCache/>
            </c:numRef>
          </c:val>
          <c:smooth val="0"/>
        </c:ser>
        <c:ser>
          <c:idx val="3"/>
          <c:order val="3"/>
          <c:tx>
            <c:strRef>
              <c:f>posttrial_vs_control_77!$E$8</c:f>
            </c:strRef>
          </c:tx>
          <c:spPr>
            <a:ln cmpd="sng">
              <a:solidFill>
                <a:srgbClr val="B7B7B7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strRef>
              <c:f>posttrial_vs_control_77!$A$9:$A$14</c:f>
            </c:strRef>
          </c:cat>
          <c:val>
            <c:numRef>
              <c:f>posttrial_vs_control_77!$E$9:$E$14</c:f>
              <c:numCache/>
            </c:numRef>
          </c:val>
          <c:smooth val="0"/>
        </c:ser>
        <c:axId val="1355625812"/>
        <c:axId val="15830508"/>
      </c:lineChart>
      <c:catAx>
        <c:axId val="1355625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30508"/>
      </c:catAx>
      <c:valAx>
        <c:axId val="15830508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Customers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56258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180975</xdr:colOff>
      <xdr:row>0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95250</xdr:colOff>
      <xdr:row>3</xdr:row>
      <xdr:rowOff>123825</xdr:rowOff>
    </xdr:from>
    <xdr:ext cx="3514725" cy="2133600"/>
    <xdr:grpSp>
      <xdr:nvGrpSpPr>
        <xdr:cNvPr id="2" name="Shape 2" title="Drawing"/>
        <xdr:cNvGrpSpPr/>
      </xdr:nvGrpSpPr>
      <xdr:grpSpPr>
        <a:xfrm>
          <a:off x="866225" y="1109700"/>
          <a:ext cx="3492000" cy="2111375"/>
          <a:chOff x="866225" y="1109700"/>
          <a:chExt cx="3492000" cy="2111375"/>
        </a:xfrm>
      </xdr:grpSpPr>
      <xdr:cxnSp>
        <xdr:nvCxnSpPr>
          <xdr:cNvPr id="3" name="Shape 3"/>
          <xdr:cNvCxnSpPr/>
        </xdr:nvCxnSpPr>
        <xdr:spPr>
          <a:xfrm flipH="1" rot="10800000">
            <a:off x="866225" y="1109700"/>
            <a:ext cx="3492000" cy="588900"/>
          </a:xfrm>
          <a:prstGeom prst="straightConnector1">
            <a:avLst/>
          </a:prstGeom>
          <a:noFill/>
          <a:ln cap="flat" cmpd="sng" w="19050">
            <a:solidFill>
              <a:srgbClr val="7FDD7C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4" name="Shape 4"/>
          <xdr:cNvCxnSpPr/>
        </xdr:nvCxnSpPr>
        <xdr:spPr>
          <a:xfrm>
            <a:off x="4073925" y="1454975"/>
            <a:ext cx="263700" cy="1766100"/>
          </a:xfrm>
          <a:prstGeom prst="straightConnector1">
            <a:avLst/>
          </a:prstGeom>
          <a:noFill/>
          <a:ln cap="flat" cmpd="sng" w="19050">
            <a:solidFill>
              <a:srgbClr val="EACC77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361950</xdr:colOff>
      <xdr:row>238</xdr:row>
      <xdr:rowOff>123825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142875</xdr:colOff>
      <xdr:row>0</xdr:row>
      <xdr:rowOff>76200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0</xdr:row>
      <xdr:rowOff>85725</xdr:rowOff>
    </xdr:from>
    <xdr:ext cx="8362950" cy="54673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0</xdr:row>
      <xdr:rowOff>0</xdr:rowOff>
    </xdr:from>
    <xdr:ext cx="8267700" cy="48196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</xdr:colOff>
      <xdr:row>2</xdr:row>
      <xdr:rowOff>190500</xdr:rowOff>
    </xdr:from>
    <xdr:ext cx="9429750" cy="51816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514350</xdr:colOff>
      <xdr:row>0</xdr:row>
      <xdr:rowOff>85725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514350</xdr:colOff>
      <xdr:row>18</xdr:row>
      <xdr:rowOff>104775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209550</xdr:colOff>
      <xdr:row>1</xdr:row>
      <xdr:rowOff>57150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14</xdr:row>
      <xdr:rowOff>66675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22" sheet="avg_qty_master"/>
  </cacheSource>
  <cacheFields>
    <cacheField name="LIFESTAGE" numFmtId="0">
      <sharedItems>
        <s v="MIDAGE SINGLES/COUPLES"/>
        <s v="NEW FAMILIES"/>
        <s v="OLDER FAMILIES"/>
        <s v="OLDER SINGLES/COUPLES"/>
        <s v="RETIREES"/>
        <s v="YOUNG FAMILIES"/>
        <s v="YOUNG SINGLES/COUPLES"/>
      </sharedItems>
    </cacheField>
    <cacheField name="PREMIUM_CUSTOMER" numFmtId="0">
      <sharedItems>
        <s v="Budget"/>
        <s v="Mainstream"/>
        <s v="Premium"/>
      </sharedItems>
    </cacheField>
    <cacheField name="PROD_QTY" numFmtId="0">
      <sharedItems containsSemiMixedTypes="0" containsString="0" containsNumber="1" containsInteger="1">
        <n v="8883.0"/>
        <n v="21213.0"/>
        <n v="14400.0"/>
        <n v="5241.0"/>
        <n v="4060.0"/>
        <n v="2769.0"/>
        <n v="41853.0"/>
        <n v="25804.0"/>
        <n v="20239.0"/>
        <n v="32883.0"/>
        <n v="32607.0"/>
        <n v="31695.0"/>
        <n v="26932.0"/>
        <n v="37677.0"/>
        <n v="23266.0"/>
        <n v="34482.0"/>
        <n v="23194.0"/>
        <n v="20901.0"/>
        <n v="15500.0"/>
        <n v="36225.0"/>
        <n v="10575.0"/>
      </sharedItems>
    </cacheField>
    <cacheField name="LYLTY_CARD_NBR" numFmtId="0">
      <sharedItems containsSemiMixedTypes="0" containsString="0" containsNumber="1" containsInteger="1">
        <n v="1474.0"/>
        <n v="3298.0"/>
        <n v="2369.0"/>
        <n v="1087.0"/>
        <n v="830.0"/>
        <n v="575.0"/>
        <n v="4611.0"/>
        <n v="2788.0"/>
        <n v="2231.0"/>
        <n v="4849.0"/>
        <n v="4858.0"/>
        <n v="4682.0"/>
        <n v="4385.0"/>
        <n v="6358.0"/>
        <n v="3812.0"/>
        <n v="3953.0"/>
        <n v="2685.0"/>
        <n v="2398.0"/>
        <n v="3647.0"/>
        <n v="7917.0"/>
        <n v="2480.0"/>
      </sharedItems>
    </cacheField>
    <cacheField name="AVG_QTY" numFmtId="0">
      <sharedItems containsSemiMixedTypes="0" containsString="0" containsNumber="1">
        <n v="6.02645861601085"/>
        <n v="6.43208004851425"/>
        <n v="6.07851414098775"/>
        <n v="4.82152713891444"/>
        <n v="4.89156626506024"/>
        <n v="4.81565217391304"/>
        <n v="9.07677293428757"/>
        <n v="9.25538020086083"/>
        <n v="9.0717167189601"/>
        <n v="6.78139822643844"/>
        <n v="6.71202140798682"/>
        <n v="6.76954293037163"/>
        <n v="6.1418472063854"/>
        <n v="5.92592010066058"/>
        <n v="6.10335781741867"/>
        <n v="8.7229951935239"/>
        <n v="8.63836126629422"/>
        <n v="8.71601334445371"/>
        <n v="4.25006854949273"/>
        <n v="4.57559681697612"/>
        <n v="4.2641129032258"/>
      </sharedItems>
    </cacheField>
    <cacheField name="TOT_SALES" numFmtId="0">
      <sharedItems containsSemiMixedTypes="0" containsString="0" containsNumber="1">
        <n v="33345.7"/>
        <n v="84734.25"/>
        <n v="54443.85"/>
        <n v="20607.45"/>
        <n v="15979.7"/>
        <n v="10760.8"/>
        <n v="156863.75"/>
        <n v="96413.55"/>
        <n v="75242.6"/>
        <n v="127833.6"/>
        <n v="124648.5"/>
        <n v="123537.55"/>
        <n v="105916.3"/>
        <n v="145168.95"/>
        <n v="91296.65"/>
        <n v="129717.95"/>
        <n v="86338.25"/>
        <n v="78571.7"/>
        <n v="57122.1"/>
        <n v="147582.2"/>
        <n v="39052.3"/>
      </sharedItems>
    </cacheField>
    <cacheField name="AVG_PRICE" numFmtId="0">
      <sharedItems containsSemiMixedTypes="0" containsString="0" containsNumber="1">
        <n v="3.75387819430372"/>
        <n v="3.99444915853486"/>
        <n v="3.78082291666666"/>
        <n v="3.93196908986834"/>
        <n v="3.93588669950738"/>
        <n v="3.88616829180209"/>
        <n v="3.74796908226411"/>
        <n v="3.73638001860176"/>
        <n v="3.71770344384604"/>
        <n v="3.88752851017242"/>
        <n v="3.82275278314472"/>
        <n v="3.89769837513803"/>
        <n v="3.93273058072181"/>
        <n v="3.85298590652122"/>
        <n v="3.92403722169689"/>
        <n v="3.76190331187286"/>
        <n v="3.72243899284297"/>
        <n v="3.75923161571216"/>
        <n v="3.68529677419354"/>
        <n v="4.07404278812974"/>
        <n v="3.69288888888888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22" sheet="avg_qty_master"/>
  </cacheSource>
  <cacheFields>
    <cacheField name="LIFESTAGE" numFmtId="0">
      <sharedItems>
        <s v="MIDAGE SINGLES/COUPLES"/>
        <s v="NEW FAMILIES"/>
        <s v="OLDER FAMILIES"/>
        <s v="OLDER SINGLES/COUPLES"/>
        <s v="RETIREES"/>
        <s v="YOUNG FAMILIES"/>
        <s v="YOUNG SINGLES/COUPLES"/>
      </sharedItems>
    </cacheField>
    <cacheField name="PREMIUM_CUSTOMER" numFmtId="0">
      <sharedItems>
        <s v="Budget"/>
        <s v="Mainstream"/>
        <s v="Premium"/>
      </sharedItems>
    </cacheField>
    <cacheField name="PROD_QTY" numFmtId="0">
      <sharedItems containsSemiMixedTypes="0" containsString="0" containsNumber="1" containsInteger="1">
        <n v="8883.0"/>
        <n v="21213.0"/>
        <n v="14400.0"/>
        <n v="5241.0"/>
        <n v="4060.0"/>
        <n v="2769.0"/>
        <n v="41853.0"/>
        <n v="25804.0"/>
        <n v="20239.0"/>
        <n v="32883.0"/>
        <n v="32607.0"/>
        <n v="31695.0"/>
        <n v="26932.0"/>
        <n v="37677.0"/>
        <n v="23266.0"/>
        <n v="34482.0"/>
        <n v="23194.0"/>
        <n v="20901.0"/>
        <n v="15500.0"/>
        <n v="36225.0"/>
        <n v="10575.0"/>
      </sharedItems>
    </cacheField>
    <cacheField name="LYLTY_CARD_NBR" numFmtId="0">
      <sharedItems containsSemiMixedTypes="0" containsString="0" containsNumber="1" containsInteger="1">
        <n v="1474.0"/>
        <n v="3298.0"/>
        <n v="2369.0"/>
        <n v="1087.0"/>
        <n v="830.0"/>
        <n v="575.0"/>
        <n v="4611.0"/>
        <n v="2788.0"/>
        <n v="2231.0"/>
        <n v="4849.0"/>
        <n v="4858.0"/>
        <n v="4682.0"/>
        <n v="4385.0"/>
        <n v="6358.0"/>
        <n v="3812.0"/>
        <n v="3953.0"/>
        <n v="2685.0"/>
        <n v="2398.0"/>
        <n v="3647.0"/>
        <n v="7917.0"/>
        <n v="2480.0"/>
      </sharedItems>
    </cacheField>
    <cacheField name="AVG_QTY" numFmtId="0">
      <sharedItems containsSemiMixedTypes="0" containsString="0" containsNumber="1">
        <n v="6.02645861601085"/>
        <n v="6.43208004851425"/>
        <n v="6.07851414098775"/>
        <n v="4.82152713891444"/>
        <n v="4.89156626506024"/>
        <n v="4.81565217391304"/>
        <n v="9.07677293428757"/>
        <n v="9.25538020086083"/>
        <n v="9.0717167189601"/>
        <n v="6.78139822643844"/>
        <n v="6.71202140798682"/>
        <n v="6.76954293037163"/>
        <n v="6.1418472063854"/>
        <n v="5.92592010066058"/>
        <n v="6.10335781741867"/>
        <n v="8.7229951935239"/>
        <n v="8.63836126629422"/>
        <n v="8.71601334445371"/>
        <n v="4.25006854949273"/>
        <n v="4.57559681697612"/>
        <n v="4.2641129032258"/>
      </sharedItems>
    </cacheField>
    <cacheField name="TOT_SALES" numFmtId="0">
      <sharedItems containsSemiMixedTypes="0" containsString="0" containsNumber="1">
        <n v="33345.7"/>
        <n v="84734.25"/>
        <n v="54443.85"/>
        <n v="20607.45"/>
        <n v="15979.7"/>
        <n v="10760.8"/>
        <n v="156863.75"/>
        <n v="96413.55"/>
        <n v="75242.6"/>
        <n v="127833.6"/>
        <n v="124648.5"/>
        <n v="123537.55"/>
        <n v="105916.3"/>
        <n v="145168.95"/>
        <n v="91296.65"/>
        <n v="129717.95"/>
        <n v="86338.25"/>
        <n v="78571.7"/>
        <n v="57122.1"/>
        <n v="147582.2"/>
        <n v="39052.3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22" sheet="customer_counts"/>
  </cacheSource>
  <cacheFields>
    <cacheField name="LIFESTAGE" numFmtId="0">
      <sharedItems>
        <s v="MIDAGE SINGLES/COUPLES"/>
        <s v="NEW FAMILIES"/>
        <s v="OLDER FAMILIES"/>
        <s v="OLDER SINGLES/COUPLES"/>
        <s v="RETIREES"/>
        <s v="YOUNG FAMILIES"/>
        <s v="YOUNG SINGLES/COUPLES"/>
      </sharedItems>
    </cacheField>
    <cacheField name="PREMIUM_CUSTOMER" numFmtId="0">
      <sharedItems>
        <s v="Budget"/>
        <s v="Mainstream"/>
        <s v="Premium"/>
      </sharedItems>
    </cacheField>
    <cacheField name="LYLTY_CARD_NBR" numFmtId="0">
      <sharedItems containsSemiMixedTypes="0" containsString="0" containsNumber="1" containsInteger="1">
        <n v="1474.0"/>
        <n v="3298.0"/>
        <n v="2369.0"/>
        <n v="1087.0"/>
        <n v="830.0"/>
        <n v="575.0"/>
        <n v="4611.0"/>
        <n v="2788.0"/>
        <n v="2231.0"/>
        <n v="4849.0"/>
        <n v="4858.0"/>
        <n v="4682.0"/>
        <n v="4385.0"/>
        <n v="6358.0"/>
        <n v="3812.0"/>
        <n v="3953.0"/>
        <n v="2685.0"/>
        <n v="2398.0"/>
        <n v="3647.0"/>
        <n v="7917.0"/>
        <n v="248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Avg_price_by_Affluence" cacheId="0" dataCaption="" compact="0" compactData="0">
  <location ref="A1:E10" firstHeaderRow="0" firstDataRow="1" firstDataCol="1"/>
  <pivotFields>
    <pivotField name="LIFESTAG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PREMIUM_CUSTOMER" axis="axisCol" compact="0" outline="0" multipleItemSelectionAllowed="1" showAll="0" sortType="ascending">
      <items>
        <item x="0"/>
        <item x="1"/>
        <item x="2"/>
        <item t="default"/>
      </items>
    </pivotField>
    <pivotField name="PROD_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LYLTY_CARD_NB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AVG_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OT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AVG_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0"/>
  </rowFields>
  <colFields>
    <field x="1"/>
  </colFields>
  <dataFields>
    <dataField name="SUM of AVG_PRICE" fld="6" baseField="0"/>
  </dataFields>
</pivotTableDefinition>
</file>

<file path=xl/pivotTables/pivotTable2.xml><?xml version="1.0" encoding="utf-8"?>
<pivotTableDefinition xmlns="http://schemas.openxmlformats.org/spreadsheetml/2006/main" name="Avg_qty_by_affluence" cacheId="1" dataCaption="" compact="0" compactData="0">
  <location ref="A1:E10" firstHeaderRow="0" firstDataRow="1" firstDataCol="1"/>
  <pivotFields>
    <pivotField name="LIFESTAG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PREMIUM_CUSTOMER" axis="axisCol" compact="0" outline="0" multipleItemSelectionAllowed="1" showAll="0" sortType="ascending">
      <items>
        <item x="0"/>
        <item x="1"/>
        <item x="2"/>
        <item t="default"/>
      </items>
    </pivotField>
    <pivotField name="PROD_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LYLTY_CARD_NB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AVG_Q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OT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0"/>
  </rowFields>
  <colFields>
    <field x="1"/>
  </colFields>
  <dataFields>
    <dataField name="SUM of AVG_QTY" fld="4" baseField="0"/>
  </dataFields>
</pivotTableDefinition>
</file>

<file path=xl/pivotTables/pivotTable3.xml><?xml version="1.0" encoding="utf-8"?>
<pivotTableDefinition xmlns="http://schemas.openxmlformats.org/spreadsheetml/2006/main" name="customer_by_affluence" cacheId="2" dataCaption="" compact="0" compactData="0">
  <location ref="A1:E10" firstHeaderRow="0" firstDataRow="1" firstDataCol="1"/>
  <pivotFields>
    <pivotField name="LIFESTAG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PREMIUM_CUSTOMER" axis="axisCol" compact="0" outline="0" multipleItemSelectionAllowed="1" showAll="0" sortType="ascending">
      <items>
        <item x="0"/>
        <item x="1"/>
        <item x="2"/>
        <item t="default"/>
      </items>
    </pivotField>
    <pivotField name="LYLTY_CARD_NB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0"/>
  </rowFields>
  <colFields>
    <field x="1"/>
  </colFields>
  <dataFields>
    <dataField name="SUM of LYLTY_CARD_NBR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43435.0</v>
      </c>
      <c r="B2" s="1">
        <v>675.0</v>
      </c>
      <c r="C2" s="3">
        <f t="shared" ref="C2:C32" si="1">DAY(A2)</f>
        <v>1</v>
      </c>
    </row>
    <row r="3">
      <c r="A3" s="2">
        <v>43436.0</v>
      </c>
      <c r="B3" s="1">
        <v>655.0</v>
      </c>
      <c r="C3" s="3">
        <f t="shared" si="1"/>
        <v>2</v>
      </c>
    </row>
    <row r="4">
      <c r="A4" s="2">
        <v>43437.0</v>
      </c>
      <c r="B4" s="1">
        <v>677.0</v>
      </c>
      <c r="C4" s="3">
        <f t="shared" si="1"/>
        <v>3</v>
      </c>
    </row>
    <row r="5">
      <c r="A5" s="2">
        <v>43438.0</v>
      </c>
      <c r="B5" s="1">
        <v>666.0</v>
      </c>
      <c r="C5" s="3">
        <f t="shared" si="1"/>
        <v>4</v>
      </c>
    </row>
    <row r="6">
      <c r="A6" s="2">
        <v>43439.0</v>
      </c>
      <c r="B6" s="1">
        <v>660.0</v>
      </c>
      <c r="C6" s="3">
        <f t="shared" si="1"/>
        <v>5</v>
      </c>
    </row>
    <row r="7">
      <c r="A7" s="2">
        <v>43440.0</v>
      </c>
      <c r="B7" s="1">
        <v>645.0</v>
      </c>
      <c r="C7" s="3">
        <f t="shared" si="1"/>
        <v>6</v>
      </c>
    </row>
    <row r="8">
      <c r="A8" s="2">
        <v>43441.0</v>
      </c>
      <c r="B8" s="1">
        <v>672.0</v>
      </c>
      <c r="C8" s="3">
        <f t="shared" si="1"/>
        <v>7</v>
      </c>
    </row>
    <row r="9">
      <c r="A9" s="2">
        <v>43442.0</v>
      </c>
      <c r="B9" s="1">
        <v>622.0</v>
      </c>
      <c r="C9" s="3">
        <f t="shared" si="1"/>
        <v>8</v>
      </c>
    </row>
    <row r="10">
      <c r="A10" s="2">
        <v>43443.0</v>
      </c>
      <c r="B10" s="1">
        <v>659.0</v>
      </c>
      <c r="C10" s="3">
        <f t="shared" si="1"/>
        <v>9</v>
      </c>
    </row>
    <row r="11">
      <c r="A11" s="2">
        <v>43444.0</v>
      </c>
      <c r="B11" s="1">
        <v>664.0</v>
      </c>
      <c r="C11" s="3">
        <f t="shared" si="1"/>
        <v>10</v>
      </c>
    </row>
    <row r="12">
      <c r="A12" s="2">
        <v>43445.0</v>
      </c>
      <c r="B12" s="1">
        <v>686.0</v>
      </c>
      <c r="C12" s="3">
        <f t="shared" si="1"/>
        <v>11</v>
      </c>
    </row>
    <row r="13">
      <c r="A13" s="2">
        <v>43446.0</v>
      </c>
      <c r="B13" s="1">
        <v>624.0</v>
      </c>
      <c r="C13" s="3">
        <f t="shared" si="1"/>
        <v>12</v>
      </c>
    </row>
    <row r="14">
      <c r="A14" s="2">
        <v>43447.0</v>
      </c>
      <c r="B14" s="1">
        <v>668.0</v>
      </c>
      <c r="C14" s="3">
        <f t="shared" si="1"/>
        <v>13</v>
      </c>
    </row>
    <row r="15">
      <c r="A15" s="2">
        <v>43448.0</v>
      </c>
      <c r="B15" s="1">
        <v>697.0</v>
      </c>
      <c r="C15" s="3">
        <f t="shared" si="1"/>
        <v>14</v>
      </c>
    </row>
    <row r="16">
      <c r="A16" s="2">
        <v>43449.0</v>
      </c>
      <c r="B16" s="1">
        <v>671.0</v>
      </c>
      <c r="C16" s="3">
        <f t="shared" si="1"/>
        <v>15</v>
      </c>
    </row>
    <row r="17">
      <c r="A17" s="2">
        <v>43450.0</v>
      </c>
      <c r="B17" s="1">
        <v>709.0</v>
      </c>
      <c r="C17" s="3">
        <f t="shared" si="1"/>
        <v>16</v>
      </c>
    </row>
    <row r="18">
      <c r="A18" s="2">
        <v>43451.0</v>
      </c>
      <c r="B18" s="1">
        <v>729.0</v>
      </c>
      <c r="C18" s="3">
        <f t="shared" si="1"/>
        <v>17</v>
      </c>
    </row>
    <row r="19">
      <c r="A19" s="2">
        <v>43452.0</v>
      </c>
      <c r="B19" s="1">
        <v>799.0</v>
      </c>
      <c r="C19" s="3">
        <f t="shared" si="1"/>
        <v>18</v>
      </c>
    </row>
    <row r="20">
      <c r="A20" s="2">
        <v>43453.0</v>
      </c>
      <c r="B20" s="1">
        <v>839.0</v>
      </c>
      <c r="C20" s="3">
        <f t="shared" si="1"/>
        <v>19</v>
      </c>
    </row>
    <row r="21">
      <c r="A21" s="2">
        <v>43454.0</v>
      </c>
      <c r="B21" s="1">
        <v>808.0</v>
      </c>
      <c r="C21" s="3">
        <f t="shared" si="1"/>
        <v>20</v>
      </c>
    </row>
    <row r="22">
      <c r="A22" s="2">
        <v>43455.0</v>
      </c>
      <c r="B22" s="1">
        <v>781.0</v>
      </c>
      <c r="C22" s="3">
        <f t="shared" si="1"/>
        <v>21</v>
      </c>
    </row>
    <row r="23">
      <c r="A23" s="2">
        <v>43456.0</v>
      </c>
      <c r="B23" s="1">
        <v>840.0</v>
      </c>
      <c r="C23" s="3">
        <f t="shared" si="1"/>
        <v>22</v>
      </c>
    </row>
    <row r="24">
      <c r="A24" s="2">
        <v>43457.0</v>
      </c>
      <c r="B24" s="1">
        <v>853.0</v>
      </c>
      <c r="C24" s="3">
        <f t="shared" si="1"/>
        <v>23</v>
      </c>
    </row>
    <row r="25">
      <c r="A25" s="2">
        <v>43458.0</v>
      </c>
      <c r="B25" s="1">
        <v>865.0</v>
      </c>
      <c r="C25" s="3">
        <f t="shared" si="1"/>
        <v>24</v>
      </c>
    </row>
    <row r="26">
      <c r="A26" s="2">
        <v>43459.0</v>
      </c>
      <c r="B26" s="1">
        <v>0.0</v>
      </c>
      <c r="C26" s="3">
        <f t="shared" si="1"/>
        <v>25</v>
      </c>
    </row>
    <row r="27">
      <c r="A27" s="2">
        <v>43460.0</v>
      </c>
      <c r="B27" s="1">
        <v>700.0</v>
      </c>
      <c r="C27" s="3">
        <f t="shared" si="1"/>
        <v>26</v>
      </c>
    </row>
    <row r="28">
      <c r="A28" s="2">
        <v>43461.0</v>
      </c>
      <c r="B28" s="1">
        <v>690.0</v>
      </c>
      <c r="C28" s="3">
        <f t="shared" si="1"/>
        <v>27</v>
      </c>
    </row>
    <row r="29">
      <c r="A29" s="2">
        <v>43462.0</v>
      </c>
      <c r="B29" s="1">
        <v>669.0</v>
      </c>
      <c r="C29" s="3">
        <f t="shared" si="1"/>
        <v>28</v>
      </c>
    </row>
    <row r="30">
      <c r="A30" s="2">
        <v>43463.0</v>
      </c>
      <c r="B30" s="1">
        <v>666.0</v>
      </c>
      <c r="C30" s="3">
        <f t="shared" si="1"/>
        <v>29</v>
      </c>
    </row>
    <row r="31">
      <c r="A31" s="2">
        <v>43464.0</v>
      </c>
      <c r="B31" s="1">
        <v>686.0</v>
      </c>
      <c r="C31" s="3">
        <f t="shared" si="1"/>
        <v>30</v>
      </c>
    </row>
    <row r="32">
      <c r="A32" s="2">
        <v>43465.0</v>
      </c>
      <c r="B32" s="1">
        <v>650.0</v>
      </c>
      <c r="C32" s="3">
        <f t="shared" si="1"/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</v>
      </c>
      <c r="B1" s="1" t="s">
        <v>1</v>
      </c>
    </row>
    <row r="2">
      <c r="A2" s="4">
        <v>43282.0</v>
      </c>
      <c r="B2" s="1">
        <v>663.0</v>
      </c>
    </row>
    <row r="3">
      <c r="A3" s="4">
        <v>43283.0</v>
      </c>
      <c r="B3" s="1">
        <v>650.0</v>
      </c>
    </row>
    <row r="4">
      <c r="A4" s="4">
        <v>43284.0</v>
      </c>
      <c r="B4" s="1">
        <v>674.0</v>
      </c>
    </row>
    <row r="5">
      <c r="A5" s="4">
        <v>43285.0</v>
      </c>
      <c r="B5" s="1">
        <v>669.0</v>
      </c>
    </row>
    <row r="6">
      <c r="A6" s="4">
        <v>43286.0</v>
      </c>
      <c r="B6" s="1">
        <v>660.0</v>
      </c>
    </row>
    <row r="7">
      <c r="A7" s="4">
        <v>43287.0</v>
      </c>
      <c r="B7" s="1">
        <v>711.0</v>
      </c>
    </row>
    <row r="8">
      <c r="A8" s="4">
        <v>43288.0</v>
      </c>
      <c r="B8" s="1">
        <v>695.0</v>
      </c>
    </row>
    <row r="9">
      <c r="A9" s="4">
        <v>43289.0</v>
      </c>
      <c r="B9" s="1">
        <v>653.0</v>
      </c>
    </row>
    <row r="10">
      <c r="A10" s="4">
        <v>43290.0</v>
      </c>
      <c r="B10" s="1">
        <v>692.0</v>
      </c>
    </row>
    <row r="11">
      <c r="A11" s="4">
        <v>43291.0</v>
      </c>
      <c r="B11" s="1">
        <v>650.0</v>
      </c>
    </row>
    <row r="12">
      <c r="A12" s="4">
        <v>43292.0</v>
      </c>
      <c r="B12" s="1">
        <v>701.0</v>
      </c>
    </row>
    <row r="13">
      <c r="A13" s="4">
        <v>43293.0</v>
      </c>
      <c r="B13" s="1">
        <v>717.0</v>
      </c>
    </row>
    <row r="14">
      <c r="A14" s="4">
        <v>43294.0</v>
      </c>
      <c r="B14" s="1">
        <v>727.0</v>
      </c>
    </row>
    <row r="15">
      <c r="A15" s="4">
        <v>43295.0</v>
      </c>
      <c r="B15" s="1">
        <v>661.0</v>
      </c>
    </row>
    <row r="16">
      <c r="A16" s="4">
        <v>43296.0</v>
      </c>
      <c r="B16" s="1">
        <v>712.0</v>
      </c>
    </row>
    <row r="17">
      <c r="A17" s="4">
        <v>43297.0</v>
      </c>
      <c r="B17" s="1">
        <v>678.0</v>
      </c>
    </row>
    <row r="18">
      <c r="A18" s="4">
        <v>43298.0</v>
      </c>
      <c r="B18" s="1">
        <v>694.0</v>
      </c>
    </row>
    <row r="19">
      <c r="A19" s="4">
        <v>43299.0</v>
      </c>
      <c r="B19" s="1">
        <v>689.0</v>
      </c>
    </row>
    <row r="20">
      <c r="A20" s="4">
        <v>43300.0</v>
      </c>
      <c r="B20" s="1">
        <v>637.0</v>
      </c>
    </row>
    <row r="21">
      <c r="A21" s="4">
        <v>43301.0</v>
      </c>
      <c r="B21" s="1">
        <v>684.0</v>
      </c>
    </row>
    <row r="22">
      <c r="A22" s="4">
        <v>43302.0</v>
      </c>
      <c r="B22" s="1">
        <v>683.0</v>
      </c>
    </row>
    <row r="23">
      <c r="A23" s="4">
        <v>43303.0</v>
      </c>
      <c r="B23" s="1">
        <v>673.0</v>
      </c>
    </row>
    <row r="24">
      <c r="A24" s="4">
        <v>43304.0</v>
      </c>
      <c r="B24" s="1">
        <v>673.0</v>
      </c>
    </row>
    <row r="25">
      <c r="A25" s="4">
        <v>43305.0</v>
      </c>
      <c r="B25" s="1">
        <v>648.0</v>
      </c>
    </row>
    <row r="26">
      <c r="A26" s="4">
        <v>43306.0</v>
      </c>
      <c r="B26" s="1">
        <v>674.0</v>
      </c>
    </row>
    <row r="27">
      <c r="A27" s="4">
        <v>43307.0</v>
      </c>
      <c r="B27" s="1">
        <v>672.0</v>
      </c>
    </row>
    <row r="28">
      <c r="A28" s="4">
        <v>43308.0</v>
      </c>
      <c r="B28" s="1">
        <v>697.0</v>
      </c>
    </row>
    <row r="29">
      <c r="A29" s="4">
        <v>43309.0</v>
      </c>
      <c r="B29" s="1">
        <v>640.0</v>
      </c>
    </row>
    <row r="30">
      <c r="A30" s="4">
        <v>43310.0</v>
      </c>
      <c r="B30" s="1">
        <v>659.0</v>
      </c>
    </row>
    <row r="31">
      <c r="A31" s="4">
        <v>43311.0</v>
      </c>
      <c r="B31" s="1">
        <v>692.0</v>
      </c>
    </row>
    <row r="32">
      <c r="A32" s="4">
        <v>43312.0</v>
      </c>
      <c r="B32" s="1">
        <v>688.0</v>
      </c>
    </row>
    <row r="33">
      <c r="A33" s="4">
        <v>43313.0</v>
      </c>
      <c r="B33" s="1">
        <v>680.0</v>
      </c>
    </row>
    <row r="34">
      <c r="A34" s="4">
        <v>43314.0</v>
      </c>
      <c r="B34" s="1">
        <v>669.0</v>
      </c>
    </row>
    <row r="35">
      <c r="A35" s="4">
        <v>43315.0</v>
      </c>
      <c r="B35" s="1">
        <v>662.0</v>
      </c>
    </row>
    <row r="36">
      <c r="A36" s="4">
        <v>43316.0</v>
      </c>
      <c r="B36" s="1">
        <v>665.0</v>
      </c>
    </row>
    <row r="37">
      <c r="A37" s="4">
        <v>43317.0</v>
      </c>
      <c r="B37" s="1">
        <v>705.0</v>
      </c>
    </row>
    <row r="38">
      <c r="A38" s="4">
        <v>43318.0</v>
      </c>
      <c r="B38" s="1">
        <v>706.0</v>
      </c>
    </row>
    <row r="39">
      <c r="A39" s="4">
        <v>43319.0</v>
      </c>
      <c r="B39" s="1">
        <v>668.0</v>
      </c>
    </row>
    <row r="40">
      <c r="A40" s="4">
        <v>43320.0</v>
      </c>
      <c r="B40" s="1">
        <v>695.0</v>
      </c>
    </row>
    <row r="41">
      <c r="A41" s="4">
        <v>43321.0</v>
      </c>
      <c r="B41" s="1">
        <v>652.0</v>
      </c>
    </row>
    <row r="42">
      <c r="A42" s="4">
        <v>43322.0</v>
      </c>
      <c r="B42" s="1">
        <v>675.0</v>
      </c>
    </row>
    <row r="43">
      <c r="A43" s="4">
        <v>43323.0</v>
      </c>
      <c r="B43" s="1">
        <v>678.0</v>
      </c>
    </row>
    <row r="44">
      <c r="A44" s="4">
        <v>43324.0</v>
      </c>
      <c r="B44" s="1">
        <v>642.0</v>
      </c>
    </row>
    <row r="45">
      <c r="A45" s="4">
        <v>43325.0</v>
      </c>
      <c r="B45" s="1">
        <v>703.0</v>
      </c>
    </row>
    <row r="46">
      <c r="A46" s="4">
        <v>43326.0</v>
      </c>
      <c r="B46" s="1">
        <v>702.0</v>
      </c>
    </row>
    <row r="47">
      <c r="A47" s="4">
        <v>43327.0</v>
      </c>
      <c r="B47" s="1">
        <v>702.0</v>
      </c>
    </row>
    <row r="48">
      <c r="A48" s="4">
        <v>43328.0</v>
      </c>
      <c r="B48" s="1">
        <v>690.0</v>
      </c>
    </row>
    <row r="49">
      <c r="A49" s="4">
        <v>43329.0</v>
      </c>
      <c r="B49" s="1">
        <v>663.0</v>
      </c>
    </row>
    <row r="50">
      <c r="A50" s="4">
        <v>43330.0</v>
      </c>
      <c r="B50" s="1">
        <v>683.0</v>
      </c>
    </row>
    <row r="51">
      <c r="A51" s="4">
        <v>43331.0</v>
      </c>
      <c r="B51" s="1">
        <v>670.0</v>
      </c>
    </row>
    <row r="52">
      <c r="A52" s="4">
        <v>43332.0</v>
      </c>
      <c r="B52" s="1">
        <v>644.0</v>
      </c>
    </row>
    <row r="53">
      <c r="A53" s="4">
        <v>43333.0</v>
      </c>
      <c r="B53" s="1">
        <v>653.0</v>
      </c>
    </row>
    <row r="54">
      <c r="A54" s="4">
        <v>43334.0</v>
      </c>
      <c r="B54" s="1">
        <v>689.0</v>
      </c>
    </row>
    <row r="55">
      <c r="A55" s="4">
        <v>43335.0</v>
      </c>
      <c r="B55" s="1">
        <v>696.0</v>
      </c>
    </row>
    <row r="56">
      <c r="A56" s="4">
        <v>43336.0</v>
      </c>
      <c r="B56" s="1">
        <v>647.0</v>
      </c>
    </row>
    <row r="57">
      <c r="A57" s="4">
        <v>43337.0</v>
      </c>
      <c r="B57" s="1">
        <v>657.0</v>
      </c>
    </row>
    <row r="58">
      <c r="A58" s="4">
        <v>43338.0</v>
      </c>
      <c r="B58" s="1">
        <v>685.0</v>
      </c>
    </row>
    <row r="59">
      <c r="A59" s="4">
        <v>43339.0</v>
      </c>
      <c r="B59" s="1">
        <v>670.0</v>
      </c>
    </row>
    <row r="60">
      <c r="A60" s="4">
        <v>43340.0</v>
      </c>
      <c r="B60" s="1">
        <v>636.0</v>
      </c>
    </row>
    <row r="61">
      <c r="A61" s="4">
        <v>43341.0</v>
      </c>
      <c r="B61" s="1">
        <v>666.0</v>
      </c>
    </row>
    <row r="62">
      <c r="A62" s="4">
        <v>43342.0</v>
      </c>
      <c r="B62" s="1">
        <v>653.0</v>
      </c>
    </row>
    <row r="63">
      <c r="A63" s="4">
        <v>43343.0</v>
      </c>
      <c r="B63" s="1">
        <v>658.0</v>
      </c>
    </row>
    <row r="64">
      <c r="A64" s="4">
        <v>43344.0</v>
      </c>
      <c r="B64" s="1">
        <v>687.0</v>
      </c>
    </row>
    <row r="65">
      <c r="A65" s="4">
        <v>43345.0</v>
      </c>
      <c r="B65" s="1">
        <v>671.0</v>
      </c>
    </row>
    <row r="66">
      <c r="A66" s="4">
        <v>43346.0</v>
      </c>
      <c r="B66" s="1">
        <v>661.0</v>
      </c>
    </row>
    <row r="67">
      <c r="A67" s="4">
        <v>43347.0</v>
      </c>
      <c r="B67" s="1">
        <v>718.0</v>
      </c>
    </row>
    <row r="68">
      <c r="A68" s="4">
        <v>43348.0</v>
      </c>
      <c r="B68" s="1">
        <v>685.0</v>
      </c>
    </row>
    <row r="69">
      <c r="A69" s="4">
        <v>43349.0</v>
      </c>
      <c r="B69" s="1">
        <v>745.0</v>
      </c>
    </row>
    <row r="70">
      <c r="A70" s="4">
        <v>43350.0</v>
      </c>
      <c r="B70" s="1">
        <v>663.0</v>
      </c>
    </row>
    <row r="71">
      <c r="A71" s="4">
        <v>43351.0</v>
      </c>
      <c r="B71" s="1">
        <v>666.0</v>
      </c>
    </row>
    <row r="72">
      <c r="A72" s="4">
        <v>43352.0</v>
      </c>
      <c r="B72" s="1">
        <v>705.0</v>
      </c>
    </row>
    <row r="73">
      <c r="A73" s="4">
        <v>43353.0</v>
      </c>
      <c r="B73" s="1">
        <v>645.0</v>
      </c>
    </row>
    <row r="74">
      <c r="A74" s="4">
        <v>43354.0</v>
      </c>
      <c r="B74" s="1">
        <v>647.0</v>
      </c>
    </row>
    <row r="75">
      <c r="A75" s="4">
        <v>43355.0</v>
      </c>
      <c r="B75" s="1">
        <v>661.0</v>
      </c>
    </row>
    <row r="76">
      <c r="A76" s="4">
        <v>43356.0</v>
      </c>
      <c r="B76" s="1">
        <v>646.0</v>
      </c>
    </row>
    <row r="77">
      <c r="A77" s="4">
        <v>43357.0</v>
      </c>
      <c r="B77" s="1">
        <v>688.0</v>
      </c>
    </row>
    <row r="78">
      <c r="A78" s="4">
        <v>43358.0</v>
      </c>
      <c r="B78" s="1">
        <v>636.0</v>
      </c>
    </row>
    <row r="79">
      <c r="A79" s="4">
        <v>43359.0</v>
      </c>
      <c r="B79" s="1">
        <v>669.0</v>
      </c>
    </row>
    <row r="80">
      <c r="A80" s="4">
        <v>43360.0</v>
      </c>
      <c r="B80" s="1">
        <v>660.0</v>
      </c>
    </row>
    <row r="81">
      <c r="A81" s="4">
        <v>43361.0</v>
      </c>
      <c r="B81" s="1">
        <v>717.0</v>
      </c>
    </row>
    <row r="82">
      <c r="A82" s="4">
        <v>43362.0</v>
      </c>
      <c r="B82" s="1">
        <v>670.0</v>
      </c>
    </row>
    <row r="83">
      <c r="A83" s="4">
        <v>43363.0</v>
      </c>
      <c r="B83" s="1">
        <v>656.0</v>
      </c>
    </row>
    <row r="84">
      <c r="A84" s="4">
        <v>43364.0</v>
      </c>
      <c r="B84" s="1">
        <v>699.0</v>
      </c>
    </row>
    <row r="85">
      <c r="A85" s="4">
        <v>43365.0</v>
      </c>
      <c r="B85" s="1">
        <v>609.0</v>
      </c>
    </row>
    <row r="86">
      <c r="A86" s="4">
        <v>43366.0</v>
      </c>
      <c r="B86" s="1">
        <v>738.0</v>
      </c>
    </row>
    <row r="87">
      <c r="A87" s="4">
        <v>43367.0</v>
      </c>
      <c r="B87" s="1">
        <v>672.0</v>
      </c>
    </row>
    <row r="88">
      <c r="A88" s="4">
        <v>43368.0</v>
      </c>
      <c r="B88" s="1">
        <v>729.0</v>
      </c>
    </row>
    <row r="89">
      <c r="A89" s="4">
        <v>43369.0</v>
      </c>
      <c r="B89" s="1">
        <v>652.0</v>
      </c>
    </row>
    <row r="90">
      <c r="A90" s="4">
        <v>43370.0</v>
      </c>
      <c r="B90" s="1">
        <v>632.0</v>
      </c>
    </row>
    <row r="91">
      <c r="A91" s="4">
        <v>43371.0</v>
      </c>
      <c r="B91" s="1">
        <v>694.0</v>
      </c>
    </row>
    <row r="92">
      <c r="A92" s="4">
        <v>43372.0</v>
      </c>
      <c r="B92" s="1">
        <v>671.0</v>
      </c>
    </row>
    <row r="93">
      <c r="A93" s="4">
        <v>43373.0</v>
      </c>
      <c r="B93" s="1">
        <v>704.0</v>
      </c>
    </row>
    <row r="94">
      <c r="A94" s="4">
        <v>43374.0</v>
      </c>
      <c r="B94" s="1">
        <v>662.0</v>
      </c>
    </row>
    <row r="95">
      <c r="A95" s="4">
        <v>43375.0</v>
      </c>
      <c r="B95" s="1">
        <v>650.0</v>
      </c>
    </row>
    <row r="96">
      <c r="A96" s="4">
        <v>43376.0</v>
      </c>
      <c r="B96" s="1">
        <v>658.0</v>
      </c>
    </row>
    <row r="97">
      <c r="A97" s="4">
        <v>43377.0</v>
      </c>
      <c r="B97" s="1">
        <v>684.0</v>
      </c>
    </row>
    <row r="98">
      <c r="A98" s="4">
        <v>43378.0</v>
      </c>
      <c r="B98" s="1">
        <v>651.0</v>
      </c>
    </row>
    <row r="99">
      <c r="A99" s="4">
        <v>43379.0</v>
      </c>
      <c r="B99" s="1">
        <v>702.0</v>
      </c>
    </row>
    <row r="100">
      <c r="A100" s="4">
        <v>43380.0</v>
      </c>
      <c r="B100" s="1">
        <v>644.0</v>
      </c>
    </row>
    <row r="101">
      <c r="A101" s="4">
        <v>43381.0</v>
      </c>
      <c r="B101" s="1">
        <v>676.0</v>
      </c>
    </row>
    <row r="102">
      <c r="A102" s="4">
        <v>43382.0</v>
      </c>
      <c r="B102" s="1">
        <v>724.0</v>
      </c>
    </row>
    <row r="103">
      <c r="A103" s="4">
        <v>43383.0</v>
      </c>
      <c r="B103" s="1">
        <v>700.0</v>
      </c>
    </row>
    <row r="104">
      <c r="A104" s="4">
        <v>43384.0</v>
      </c>
      <c r="B104" s="1">
        <v>706.0</v>
      </c>
    </row>
    <row r="105">
      <c r="A105" s="4">
        <v>43385.0</v>
      </c>
      <c r="B105" s="1">
        <v>658.0</v>
      </c>
    </row>
    <row r="106">
      <c r="A106" s="4">
        <v>43386.0</v>
      </c>
      <c r="B106" s="1">
        <v>663.0</v>
      </c>
    </row>
    <row r="107">
      <c r="A107" s="4">
        <v>43387.0</v>
      </c>
      <c r="B107" s="1">
        <v>636.0</v>
      </c>
    </row>
    <row r="108">
      <c r="A108" s="4">
        <v>43388.0</v>
      </c>
      <c r="B108" s="1">
        <v>674.0</v>
      </c>
    </row>
    <row r="109">
      <c r="A109" s="4">
        <v>43389.0</v>
      </c>
      <c r="B109" s="1">
        <v>675.0</v>
      </c>
    </row>
    <row r="110">
      <c r="A110" s="4">
        <v>43390.0</v>
      </c>
      <c r="B110" s="1">
        <v>682.0</v>
      </c>
    </row>
    <row r="111">
      <c r="A111" s="4">
        <v>43391.0</v>
      </c>
      <c r="B111" s="1">
        <v>611.0</v>
      </c>
    </row>
    <row r="112">
      <c r="A112" s="4">
        <v>43392.0</v>
      </c>
      <c r="B112" s="1">
        <v>699.0</v>
      </c>
    </row>
    <row r="113">
      <c r="A113" s="4">
        <v>43393.0</v>
      </c>
      <c r="B113" s="1">
        <v>679.0</v>
      </c>
    </row>
    <row r="114">
      <c r="A114" s="4">
        <v>43394.0</v>
      </c>
      <c r="B114" s="1">
        <v>677.0</v>
      </c>
    </row>
    <row r="115">
      <c r="A115" s="4">
        <v>43395.0</v>
      </c>
      <c r="B115" s="1">
        <v>684.0</v>
      </c>
    </row>
    <row r="116">
      <c r="A116" s="4">
        <v>43396.0</v>
      </c>
      <c r="B116" s="1">
        <v>659.0</v>
      </c>
    </row>
    <row r="117">
      <c r="A117" s="4">
        <v>43397.0</v>
      </c>
      <c r="B117" s="1">
        <v>672.0</v>
      </c>
    </row>
    <row r="118">
      <c r="A118" s="4">
        <v>43398.0</v>
      </c>
      <c r="B118" s="1">
        <v>655.0</v>
      </c>
    </row>
    <row r="119">
      <c r="A119" s="4">
        <v>43399.0</v>
      </c>
      <c r="B119" s="1">
        <v>716.0</v>
      </c>
    </row>
    <row r="120">
      <c r="A120" s="4">
        <v>43400.0</v>
      </c>
      <c r="B120" s="1">
        <v>643.0</v>
      </c>
    </row>
    <row r="121">
      <c r="A121" s="4">
        <v>43401.0</v>
      </c>
      <c r="B121" s="1">
        <v>649.0</v>
      </c>
    </row>
    <row r="122">
      <c r="A122" s="4">
        <v>43402.0</v>
      </c>
      <c r="B122" s="1">
        <v>666.0</v>
      </c>
    </row>
    <row r="123">
      <c r="A123" s="4">
        <v>43403.0</v>
      </c>
      <c r="B123" s="1">
        <v>665.0</v>
      </c>
    </row>
    <row r="124">
      <c r="A124" s="4">
        <v>43404.0</v>
      </c>
      <c r="B124" s="1">
        <v>652.0</v>
      </c>
    </row>
    <row r="125">
      <c r="A125" s="4">
        <v>43405.0</v>
      </c>
      <c r="B125" s="1">
        <v>695.0</v>
      </c>
    </row>
    <row r="126">
      <c r="A126" s="4">
        <v>43406.0</v>
      </c>
      <c r="B126" s="1">
        <v>670.0</v>
      </c>
    </row>
    <row r="127">
      <c r="A127" s="4">
        <v>43407.0</v>
      </c>
      <c r="B127" s="1">
        <v>680.0</v>
      </c>
    </row>
    <row r="128">
      <c r="A128" s="4">
        <v>43408.0</v>
      </c>
      <c r="B128" s="1">
        <v>697.0</v>
      </c>
    </row>
    <row r="129">
      <c r="A129" s="4">
        <v>43409.0</v>
      </c>
      <c r="B129" s="1">
        <v>642.0</v>
      </c>
    </row>
    <row r="130">
      <c r="A130" s="4">
        <v>43410.0</v>
      </c>
      <c r="B130" s="1">
        <v>673.0</v>
      </c>
    </row>
    <row r="131">
      <c r="A131" s="4">
        <v>43411.0</v>
      </c>
      <c r="B131" s="1">
        <v>679.0</v>
      </c>
    </row>
    <row r="132">
      <c r="A132" s="4">
        <v>43412.0</v>
      </c>
      <c r="B132" s="1">
        <v>662.0</v>
      </c>
    </row>
    <row r="133">
      <c r="A133" s="4">
        <v>43413.0</v>
      </c>
      <c r="B133" s="1">
        <v>710.0</v>
      </c>
    </row>
    <row r="134">
      <c r="A134" s="4">
        <v>43414.0</v>
      </c>
      <c r="B134" s="1">
        <v>713.0</v>
      </c>
    </row>
    <row r="135">
      <c r="A135" s="4">
        <v>43415.0</v>
      </c>
      <c r="B135" s="1">
        <v>731.0</v>
      </c>
    </row>
    <row r="136">
      <c r="A136" s="4">
        <v>43416.0</v>
      </c>
      <c r="B136" s="1">
        <v>678.0</v>
      </c>
    </row>
    <row r="137">
      <c r="A137" s="4">
        <v>43417.0</v>
      </c>
      <c r="B137" s="1">
        <v>653.0</v>
      </c>
    </row>
    <row r="138">
      <c r="A138" s="4">
        <v>43418.0</v>
      </c>
      <c r="B138" s="1">
        <v>681.0</v>
      </c>
    </row>
    <row r="139">
      <c r="A139" s="4">
        <v>43419.0</v>
      </c>
      <c r="B139" s="1">
        <v>689.0</v>
      </c>
    </row>
    <row r="140">
      <c r="A140" s="4">
        <v>43420.0</v>
      </c>
      <c r="B140" s="1">
        <v>679.0</v>
      </c>
    </row>
    <row r="141">
      <c r="A141" s="4">
        <v>43421.0</v>
      </c>
      <c r="B141" s="1">
        <v>701.0</v>
      </c>
    </row>
    <row r="142">
      <c r="A142" s="4">
        <v>43422.0</v>
      </c>
      <c r="B142" s="1">
        <v>690.0</v>
      </c>
    </row>
    <row r="143">
      <c r="A143" s="4">
        <v>43423.0</v>
      </c>
      <c r="B143" s="1">
        <v>722.0</v>
      </c>
    </row>
    <row r="144">
      <c r="A144" s="4">
        <v>43424.0</v>
      </c>
      <c r="B144" s="1">
        <v>732.0</v>
      </c>
    </row>
    <row r="145">
      <c r="A145" s="4">
        <v>43425.0</v>
      </c>
      <c r="B145" s="1">
        <v>651.0</v>
      </c>
    </row>
    <row r="146">
      <c r="A146" s="4">
        <v>43426.0</v>
      </c>
      <c r="B146" s="1">
        <v>626.0</v>
      </c>
    </row>
    <row r="147">
      <c r="A147" s="4">
        <v>43427.0</v>
      </c>
      <c r="B147" s="1">
        <v>702.0</v>
      </c>
    </row>
    <row r="148">
      <c r="A148" s="4">
        <v>43428.0</v>
      </c>
      <c r="B148" s="1">
        <v>670.0</v>
      </c>
    </row>
    <row r="149">
      <c r="A149" s="4">
        <v>43429.0</v>
      </c>
      <c r="B149" s="1">
        <v>610.0</v>
      </c>
    </row>
    <row r="150">
      <c r="A150" s="4">
        <v>43430.0</v>
      </c>
      <c r="B150" s="1">
        <v>642.0</v>
      </c>
    </row>
    <row r="151">
      <c r="A151" s="4">
        <v>43431.0</v>
      </c>
      <c r="B151" s="1">
        <v>680.0</v>
      </c>
    </row>
    <row r="152">
      <c r="A152" s="4">
        <v>43432.0</v>
      </c>
      <c r="B152" s="1">
        <v>640.0</v>
      </c>
    </row>
    <row r="153">
      <c r="A153" s="4">
        <v>43433.0</v>
      </c>
      <c r="B153" s="1">
        <v>685.0</v>
      </c>
    </row>
    <row r="154">
      <c r="A154" s="4">
        <v>43434.0</v>
      </c>
      <c r="B154" s="1">
        <v>670.0</v>
      </c>
    </row>
    <row r="155">
      <c r="A155" s="4">
        <v>43435.0</v>
      </c>
      <c r="B155" s="1">
        <v>675.0</v>
      </c>
    </row>
    <row r="156">
      <c r="A156" s="4">
        <v>43436.0</v>
      </c>
      <c r="B156" s="1">
        <v>655.0</v>
      </c>
    </row>
    <row r="157">
      <c r="A157" s="4">
        <v>43437.0</v>
      </c>
      <c r="B157" s="1">
        <v>677.0</v>
      </c>
    </row>
    <row r="158">
      <c r="A158" s="4">
        <v>43438.0</v>
      </c>
      <c r="B158" s="1">
        <v>666.0</v>
      </c>
    </row>
    <row r="159">
      <c r="A159" s="4">
        <v>43439.0</v>
      </c>
      <c r="B159" s="1">
        <v>660.0</v>
      </c>
    </row>
    <row r="160">
      <c r="A160" s="4">
        <v>43440.0</v>
      </c>
      <c r="B160" s="1">
        <v>645.0</v>
      </c>
    </row>
    <row r="161">
      <c r="A161" s="4">
        <v>43441.0</v>
      </c>
      <c r="B161" s="1">
        <v>672.0</v>
      </c>
    </row>
    <row r="162">
      <c r="A162" s="4">
        <v>43442.0</v>
      </c>
      <c r="B162" s="1">
        <v>622.0</v>
      </c>
    </row>
    <row r="163">
      <c r="A163" s="4">
        <v>43443.0</v>
      </c>
      <c r="B163" s="1">
        <v>659.0</v>
      </c>
    </row>
    <row r="164">
      <c r="A164" s="4">
        <v>43444.0</v>
      </c>
      <c r="B164" s="1">
        <v>664.0</v>
      </c>
    </row>
    <row r="165">
      <c r="A165" s="4">
        <v>43445.0</v>
      </c>
      <c r="B165" s="1">
        <v>686.0</v>
      </c>
    </row>
    <row r="166">
      <c r="A166" s="4">
        <v>43446.0</v>
      </c>
      <c r="B166" s="1">
        <v>624.0</v>
      </c>
    </row>
    <row r="167">
      <c r="A167" s="4">
        <v>43447.0</v>
      </c>
      <c r="B167" s="1">
        <v>668.0</v>
      </c>
    </row>
    <row r="168">
      <c r="A168" s="4">
        <v>43448.0</v>
      </c>
      <c r="B168" s="1">
        <v>697.0</v>
      </c>
    </row>
    <row r="169">
      <c r="A169" s="4">
        <v>43449.0</v>
      </c>
      <c r="B169" s="1">
        <v>671.0</v>
      </c>
    </row>
    <row r="170">
      <c r="A170" s="4">
        <v>43450.0</v>
      </c>
      <c r="B170" s="1">
        <v>709.0</v>
      </c>
    </row>
    <row r="171">
      <c r="A171" s="4">
        <v>43451.0</v>
      </c>
      <c r="B171" s="1">
        <v>729.0</v>
      </c>
    </row>
    <row r="172">
      <c r="A172" s="4">
        <v>43452.0</v>
      </c>
      <c r="B172" s="1">
        <v>799.0</v>
      </c>
    </row>
    <row r="173">
      <c r="A173" s="4">
        <v>43453.0</v>
      </c>
      <c r="B173" s="1">
        <v>839.0</v>
      </c>
    </row>
    <row r="174">
      <c r="A174" s="4">
        <v>43454.0</v>
      </c>
      <c r="B174" s="1">
        <v>808.0</v>
      </c>
    </row>
    <row r="175">
      <c r="A175" s="4">
        <v>43455.0</v>
      </c>
      <c r="B175" s="1">
        <v>781.0</v>
      </c>
    </row>
    <row r="176">
      <c r="A176" s="4">
        <v>43456.0</v>
      </c>
      <c r="B176" s="1">
        <v>840.0</v>
      </c>
    </row>
    <row r="177">
      <c r="A177" s="4">
        <v>43457.0</v>
      </c>
      <c r="B177" s="1">
        <v>853.0</v>
      </c>
    </row>
    <row r="178">
      <c r="A178" s="4">
        <v>43458.0</v>
      </c>
      <c r="B178" s="1">
        <v>865.0</v>
      </c>
    </row>
    <row r="179">
      <c r="A179" s="4">
        <v>43459.0</v>
      </c>
      <c r="B179" s="1">
        <v>0.0</v>
      </c>
    </row>
    <row r="180">
      <c r="A180" s="4">
        <v>43460.0</v>
      </c>
      <c r="B180" s="1">
        <v>700.0</v>
      </c>
    </row>
    <row r="181">
      <c r="A181" s="4">
        <v>43461.0</v>
      </c>
      <c r="B181" s="1">
        <v>690.0</v>
      </c>
    </row>
    <row r="182">
      <c r="A182" s="4">
        <v>43462.0</v>
      </c>
      <c r="B182" s="1">
        <v>669.0</v>
      </c>
    </row>
    <row r="183">
      <c r="A183" s="4">
        <v>43463.0</v>
      </c>
      <c r="B183" s="1">
        <v>666.0</v>
      </c>
    </row>
    <row r="184">
      <c r="A184" s="4">
        <v>43464.0</v>
      </c>
      <c r="B184" s="1">
        <v>686.0</v>
      </c>
    </row>
    <row r="185">
      <c r="A185" s="4">
        <v>43465.0</v>
      </c>
      <c r="B185" s="1">
        <v>650.0</v>
      </c>
    </row>
    <row r="186">
      <c r="A186" s="4">
        <v>43466.0</v>
      </c>
      <c r="B186" s="1">
        <v>634.0</v>
      </c>
    </row>
    <row r="187">
      <c r="A187" s="4">
        <v>43467.0</v>
      </c>
      <c r="B187" s="1">
        <v>674.0</v>
      </c>
    </row>
    <row r="188">
      <c r="A188" s="4">
        <v>43468.0</v>
      </c>
      <c r="B188" s="1">
        <v>637.0</v>
      </c>
    </row>
    <row r="189">
      <c r="A189" s="4">
        <v>43469.0</v>
      </c>
      <c r="B189" s="1">
        <v>704.0</v>
      </c>
    </row>
    <row r="190">
      <c r="A190" s="4">
        <v>43470.0</v>
      </c>
      <c r="B190" s="1">
        <v>636.0</v>
      </c>
    </row>
    <row r="191">
      <c r="A191" s="4">
        <v>43471.0</v>
      </c>
      <c r="B191" s="1">
        <v>673.0</v>
      </c>
    </row>
    <row r="192">
      <c r="A192" s="4">
        <v>43472.0</v>
      </c>
      <c r="B192" s="1">
        <v>668.0</v>
      </c>
    </row>
    <row r="193">
      <c r="A193" s="4">
        <v>43473.0</v>
      </c>
      <c r="B193" s="1">
        <v>669.0</v>
      </c>
    </row>
    <row r="194">
      <c r="A194" s="4">
        <v>43474.0</v>
      </c>
      <c r="B194" s="1">
        <v>686.0</v>
      </c>
    </row>
    <row r="195">
      <c r="A195" s="4">
        <v>43475.0</v>
      </c>
      <c r="B195" s="1">
        <v>685.0</v>
      </c>
    </row>
    <row r="196">
      <c r="A196" s="4">
        <v>43476.0</v>
      </c>
      <c r="B196" s="1">
        <v>631.0</v>
      </c>
    </row>
    <row r="197">
      <c r="A197" s="4">
        <v>43477.0</v>
      </c>
      <c r="B197" s="1">
        <v>687.0</v>
      </c>
    </row>
    <row r="198">
      <c r="A198" s="4">
        <v>43478.0</v>
      </c>
      <c r="B198" s="1">
        <v>628.0</v>
      </c>
    </row>
    <row r="199">
      <c r="A199" s="4">
        <v>43479.0</v>
      </c>
      <c r="B199" s="1">
        <v>663.0</v>
      </c>
    </row>
    <row r="200">
      <c r="A200" s="4">
        <v>43480.0</v>
      </c>
      <c r="B200" s="1">
        <v>657.0</v>
      </c>
    </row>
    <row r="201">
      <c r="A201" s="4">
        <v>43481.0</v>
      </c>
      <c r="B201" s="1">
        <v>674.0</v>
      </c>
    </row>
    <row r="202">
      <c r="A202" s="4">
        <v>43482.0</v>
      </c>
      <c r="B202" s="1">
        <v>677.0</v>
      </c>
    </row>
    <row r="203">
      <c r="A203" s="4">
        <v>43483.0</v>
      </c>
      <c r="B203" s="1">
        <v>658.0</v>
      </c>
    </row>
    <row r="204">
      <c r="A204" s="4">
        <v>43484.0</v>
      </c>
      <c r="B204" s="1">
        <v>696.0</v>
      </c>
    </row>
    <row r="205">
      <c r="A205" s="4">
        <v>43485.0</v>
      </c>
      <c r="B205" s="1">
        <v>683.0</v>
      </c>
    </row>
    <row r="206">
      <c r="A206" s="4">
        <v>43486.0</v>
      </c>
      <c r="B206" s="1">
        <v>637.0</v>
      </c>
    </row>
    <row r="207">
      <c r="A207" s="4">
        <v>43487.0</v>
      </c>
      <c r="B207" s="1">
        <v>689.0</v>
      </c>
    </row>
    <row r="208">
      <c r="A208" s="4">
        <v>43488.0</v>
      </c>
      <c r="B208" s="1">
        <v>647.0</v>
      </c>
    </row>
    <row r="209">
      <c r="A209" s="4">
        <v>43489.0</v>
      </c>
      <c r="B209" s="1">
        <v>619.0</v>
      </c>
    </row>
    <row r="210">
      <c r="A210" s="4">
        <v>43490.0</v>
      </c>
      <c r="B210" s="1">
        <v>671.0</v>
      </c>
    </row>
    <row r="211">
      <c r="A211" s="4">
        <v>43491.0</v>
      </c>
      <c r="B211" s="1">
        <v>672.0</v>
      </c>
    </row>
    <row r="212">
      <c r="A212" s="4">
        <v>43492.0</v>
      </c>
      <c r="B212" s="1">
        <v>648.0</v>
      </c>
    </row>
    <row r="213">
      <c r="A213" s="4">
        <v>43493.0</v>
      </c>
      <c r="B213" s="1">
        <v>661.0</v>
      </c>
    </row>
    <row r="214">
      <c r="A214" s="4">
        <v>43494.0</v>
      </c>
      <c r="B214" s="1">
        <v>667.0</v>
      </c>
    </row>
    <row r="215">
      <c r="A215" s="4">
        <v>43495.0</v>
      </c>
      <c r="B215" s="1">
        <v>689.0</v>
      </c>
    </row>
    <row r="216">
      <c r="A216" s="4">
        <v>43496.0</v>
      </c>
      <c r="B216" s="1">
        <v>690.0</v>
      </c>
    </row>
    <row r="217">
      <c r="A217" s="4">
        <v>43497.0</v>
      </c>
      <c r="B217" s="1">
        <v>708.0</v>
      </c>
    </row>
    <row r="218">
      <c r="A218" s="4">
        <v>43498.0</v>
      </c>
      <c r="B218" s="1">
        <v>692.0</v>
      </c>
    </row>
    <row r="219">
      <c r="A219" s="4">
        <v>43499.0</v>
      </c>
      <c r="B219" s="1">
        <v>690.0</v>
      </c>
    </row>
    <row r="220">
      <c r="A220" s="4">
        <v>43500.0</v>
      </c>
      <c r="B220" s="1">
        <v>659.0</v>
      </c>
    </row>
    <row r="221">
      <c r="A221" s="4">
        <v>43501.0</v>
      </c>
      <c r="B221" s="1">
        <v>691.0</v>
      </c>
    </row>
    <row r="222">
      <c r="A222" s="4">
        <v>43502.0</v>
      </c>
      <c r="B222" s="1">
        <v>666.0</v>
      </c>
    </row>
    <row r="223">
      <c r="A223" s="4">
        <v>43503.0</v>
      </c>
      <c r="B223" s="1">
        <v>663.0</v>
      </c>
    </row>
    <row r="224">
      <c r="A224" s="4">
        <v>43504.0</v>
      </c>
      <c r="B224" s="1">
        <v>714.0</v>
      </c>
    </row>
    <row r="225">
      <c r="A225" s="4">
        <v>43505.0</v>
      </c>
      <c r="B225" s="1">
        <v>671.0</v>
      </c>
    </row>
    <row r="226">
      <c r="A226" s="4">
        <v>43506.0</v>
      </c>
      <c r="B226" s="1">
        <v>697.0</v>
      </c>
    </row>
    <row r="227">
      <c r="A227" s="4">
        <v>43507.0</v>
      </c>
      <c r="B227" s="1">
        <v>683.0</v>
      </c>
    </row>
    <row r="228">
      <c r="A228" s="4">
        <v>43508.0</v>
      </c>
      <c r="B228" s="1">
        <v>684.0</v>
      </c>
    </row>
    <row r="229">
      <c r="A229" s="4">
        <v>43509.0</v>
      </c>
      <c r="B229" s="1">
        <v>693.0</v>
      </c>
    </row>
    <row r="230">
      <c r="A230" s="4">
        <v>43510.0</v>
      </c>
      <c r="B230" s="1">
        <v>664.0</v>
      </c>
    </row>
    <row r="231">
      <c r="A231" s="4">
        <v>43511.0</v>
      </c>
      <c r="B231" s="1">
        <v>667.0</v>
      </c>
    </row>
    <row r="232">
      <c r="A232" s="4">
        <v>43512.0</v>
      </c>
      <c r="B232" s="1">
        <v>670.0</v>
      </c>
    </row>
    <row r="233">
      <c r="A233" s="4">
        <v>43513.0</v>
      </c>
      <c r="B233" s="1">
        <v>682.0</v>
      </c>
    </row>
    <row r="234">
      <c r="A234" s="4">
        <v>43514.0</v>
      </c>
      <c r="B234" s="1">
        <v>619.0</v>
      </c>
    </row>
    <row r="235">
      <c r="A235" s="4">
        <v>43515.0</v>
      </c>
      <c r="B235" s="1">
        <v>664.0</v>
      </c>
    </row>
    <row r="236">
      <c r="A236" s="4">
        <v>43516.0</v>
      </c>
      <c r="B236" s="1">
        <v>695.0</v>
      </c>
    </row>
    <row r="237">
      <c r="A237" s="4">
        <v>43517.0</v>
      </c>
      <c r="B237" s="1">
        <v>646.0</v>
      </c>
    </row>
    <row r="238">
      <c r="A238" s="4">
        <v>43518.0</v>
      </c>
      <c r="B238" s="1">
        <v>692.0</v>
      </c>
    </row>
    <row r="239">
      <c r="A239" s="4">
        <v>43519.0</v>
      </c>
      <c r="B239" s="1">
        <v>689.0</v>
      </c>
    </row>
    <row r="240">
      <c r="A240" s="4">
        <v>43520.0</v>
      </c>
      <c r="B240" s="1">
        <v>682.0</v>
      </c>
    </row>
    <row r="241">
      <c r="A241" s="4">
        <v>43521.0</v>
      </c>
      <c r="B241" s="1">
        <v>693.0</v>
      </c>
    </row>
    <row r="242">
      <c r="A242" s="4">
        <v>43522.0</v>
      </c>
      <c r="B242" s="1">
        <v>662.0</v>
      </c>
    </row>
    <row r="243">
      <c r="A243" s="4">
        <v>43523.0</v>
      </c>
      <c r="B243" s="1">
        <v>687.0</v>
      </c>
    </row>
    <row r="244">
      <c r="A244" s="4">
        <v>43524.0</v>
      </c>
      <c r="B244" s="1">
        <v>682.0</v>
      </c>
    </row>
    <row r="245">
      <c r="A245" s="4">
        <v>43525.0</v>
      </c>
      <c r="B245" s="1">
        <v>670.0</v>
      </c>
    </row>
    <row r="246">
      <c r="A246" s="4">
        <v>43526.0</v>
      </c>
      <c r="B246" s="1">
        <v>677.0</v>
      </c>
    </row>
    <row r="247">
      <c r="A247" s="4">
        <v>43527.0</v>
      </c>
      <c r="B247" s="1">
        <v>674.0</v>
      </c>
    </row>
    <row r="248">
      <c r="A248" s="4">
        <v>43528.0</v>
      </c>
      <c r="B248" s="1">
        <v>670.0</v>
      </c>
    </row>
    <row r="249">
      <c r="A249" s="4">
        <v>43529.0</v>
      </c>
      <c r="B249" s="1">
        <v>724.0</v>
      </c>
    </row>
    <row r="250">
      <c r="A250" s="4">
        <v>43530.0</v>
      </c>
      <c r="B250" s="1">
        <v>661.0</v>
      </c>
    </row>
    <row r="251">
      <c r="A251" s="4">
        <v>43531.0</v>
      </c>
      <c r="B251" s="1">
        <v>658.0</v>
      </c>
    </row>
    <row r="252">
      <c r="A252" s="4">
        <v>43532.0</v>
      </c>
      <c r="B252" s="1">
        <v>701.0</v>
      </c>
    </row>
    <row r="253">
      <c r="A253" s="4">
        <v>43533.0</v>
      </c>
      <c r="B253" s="1">
        <v>637.0</v>
      </c>
    </row>
    <row r="254">
      <c r="A254" s="4">
        <v>43534.0</v>
      </c>
      <c r="B254" s="1">
        <v>651.0</v>
      </c>
    </row>
    <row r="255">
      <c r="A255" s="4">
        <v>43535.0</v>
      </c>
      <c r="B255" s="1">
        <v>690.0</v>
      </c>
    </row>
    <row r="256">
      <c r="A256" s="4">
        <v>43536.0</v>
      </c>
      <c r="B256" s="1">
        <v>711.0</v>
      </c>
    </row>
    <row r="257">
      <c r="A257" s="4">
        <v>43537.0</v>
      </c>
      <c r="B257" s="1">
        <v>702.0</v>
      </c>
    </row>
    <row r="258">
      <c r="A258" s="4">
        <v>43538.0</v>
      </c>
      <c r="B258" s="1">
        <v>640.0</v>
      </c>
    </row>
    <row r="259">
      <c r="A259" s="4">
        <v>43539.0</v>
      </c>
      <c r="B259" s="1">
        <v>724.0</v>
      </c>
    </row>
    <row r="260">
      <c r="A260" s="4">
        <v>43540.0</v>
      </c>
      <c r="B260" s="1">
        <v>664.0</v>
      </c>
    </row>
    <row r="261">
      <c r="A261" s="4">
        <v>43541.0</v>
      </c>
      <c r="B261" s="1">
        <v>715.0</v>
      </c>
    </row>
    <row r="262">
      <c r="A262" s="4">
        <v>43542.0</v>
      </c>
      <c r="B262" s="1">
        <v>644.0</v>
      </c>
    </row>
    <row r="263">
      <c r="A263" s="4">
        <v>43543.0</v>
      </c>
      <c r="B263" s="1">
        <v>688.0</v>
      </c>
    </row>
    <row r="264">
      <c r="A264" s="4">
        <v>43544.0</v>
      </c>
      <c r="B264" s="1">
        <v>692.0</v>
      </c>
    </row>
    <row r="265">
      <c r="A265" s="4">
        <v>43545.0</v>
      </c>
      <c r="B265" s="1">
        <v>672.0</v>
      </c>
    </row>
    <row r="266">
      <c r="A266" s="4">
        <v>43546.0</v>
      </c>
      <c r="B266" s="1">
        <v>725.0</v>
      </c>
    </row>
    <row r="267">
      <c r="A267" s="4">
        <v>43547.0</v>
      </c>
      <c r="B267" s="1">
        <v>680.0</v>
      </c>
    </row>
    <row r="268">
      <c r="A268" s="4">
        <v>43548.0</v>
      </c>
      <c r="B268" s="1">
        <v>710.0</v>
      </c>
    </row>
    <row r="269">
      <c r="A269" s="4">
        <v>43549.0</v>
      </c>
      <c r="B269" s="1">
        <v>688.0</v>
      </c>
    </row>
    <row r="270">
      <c r="A270" s="4">
        <v>43550.0</v>
      </c>
      <c r="B270" s="1">
        <v>689.0</v>
      </c>
    </row>
    <row r="271">
      <c r="A271" s="4">
        <v>43551.0</v>
      </c>
      <c r="B271" s="1">
        <v>660.0</v>
      </c>
    </row>
    <row r="272">
      <c r="A272" s="4">
        <v>43552.0</v>
      </c>
      <c r="B272" s="1">
        <v>677.0</v>
      </c>
    </row>
    <row r="273">
      <c r="A273" s="4">
        <v>43553.0</v>
      </c>
      <c r="B273" s="1">
        <v>699.0</v>
      </c>
    </row>
    <row r="274">
      <c r="A274" s="4">
        <v>43554.0</v>
      </c>
      <c r="B274" s="1">
        <v>684.0</v>
      </c>
    </row>
    <row r="275">
      <c r="A275" s="4">
        <v>43555.0</v>
      </c>
      <c r="B275" s="1">
        <v>647.0</v>
      </c>
    </row>
    <row r="276">
      <c r="A276" s="4">
        <v>43556.0</v>
      </c>
      <c r="B276" s="1">
        <v>635.0</v>
      </c>
    </row>
    <row r="277">
      <c r="A277" s="4">
        <v>43557.0</v>
      </c>
      <c r="B277" s="1">
        <v>700.0</v>
      </c>
    </row>
    <row r="278">
      <c r="A278" s="4">
        <v>43558.0</v>
      </c>
      <c r="B278" s="1">
        <v>718.0</v>
      </c>
    </row>
    <row r="279">
      <c r="A279" s="4">
        <v>43559.0</v>
      </c>
      <c r="B279" s="1">
        <v>709.0</v>
      </c>
    </row>
    <row r="280">
      <c r="A280" s="4">
        <v>43560.0</v>
      </c>
      <c r="B280" s="1">
        <v>664.0</v>
      </c>
    </row>
    <row r="281">
      <c r="A281" s="4">
        <v>43561.0</v>
      </c>
      <c r="B281" s="1">
        <v>681.0</v>
      </c>
    </row>
    <row r="282">
      <c r="A282" s="4">
        <v>43562.0</v>
      </c>
      <c r="B282" s="1">
        <v>640.0</v>
      </c>
    </row>
    <row r="283">
      <c r="A283" s="4">
        <v>43563.0</v>
      </c>
      <c r="B283" s="1">
        <v>650.0</v>
      </c>
    </row>
    <row r="284">
      <c r="A284" s="4">
        <v>43564.0</v>
      </c>
      <c r="B284" s="1">
        <v>646.0</v>
      </c>
    </row>
    <row r="285">
      <c r="A285" s="4">
        <v>43565.0</v>
      </c>
      <c r="B285" s="1">
        <v>699.0</v>
      </c>
    </row>
    <row r="286">
      <c r="A286" s="4">
        <v>43566.0</v>
      </c>
      <c r="B286" s="1">
        <v>632.0</v>
      </c>
    </row>
    <row r="287">
      <c r="A287" s="4">
        <v>43567.0</v>
      </c>
      <c r="B287" s="1">
        <v>672.0</v>
      </c>
    </row>
    <row r="288">
      <c r="A288" s="4">
        <v>43568.0</v>
      </c>
      <c r="B288" s="1">
        <v>664.0</v>
      </c>
    </row>
    <row r="289">
      <c r="A289" s="4">
        <v>43569.0</v>
      </c>
      <c r="B289" s="1">
        <v>685.0</v>
      </c>
    </row>
    <row r="290">
      <c r="A290" s="4">
        <v>43570.0</v>
      </c>
      <c r="B290" s="1">
        <v>651.0</v>
      </c>
    </row>
    <row r="291">
      <c r="A291" s="4">
        <v>43571.0</v>
      </c>
      <c r="B291" s="1">
        <v>674.0</v>
      </c>
    </row>
    <row r="292">
      <c r="A292" s="4">
        <v>43572.0</v>
      </c>
      <c r="B292" s="1">
        <v>649.0</v>
      </c>
    </row>
    <row r="293">
      <c r="A293" s="4">
        <v>43573.0</v>
      </c>
      <c r="B293" s="1">
        <v>667.0</v>
      </c>
    </row>
    <row r="294">
      <c r="A294" s="4">
        <v>43574.0</v>
      </c>
      <c r="B294" s="1">
        <v>655.0</v>
      </c>
    </row>
    <row r="295">
      <c r="A295" s="4">
        <v>43575.0</v>
      </c>
      <c r="B295" s="1">
        <v>738.0</v>
      </c>
    </row>
    <row r="296">
      <c r="A296" s="4">
        <v>43576.0</v>
      </c>
      <c r="B296" s="1">
        <v>710.0</v>
      </c>
    </row>
    <row r="297">
      <c r="A297" s="4">
        <v>43577.0</v>
      </c>
      <c r="B297" s="1">
        <v>671.0</v>
      </c>
    </row>
    <row r="298">
      <c r="A298" s="4">
        <v>43578.0</v>
      </c>
      <c r="B298" s="1">
        <v>663.0</v>
      </c>
    </row>
    <row r="299">
      <c r="A299" s="4">
        <v>43579.0</v>
      </c>
      <c r="B299" s="1">
        <v>702.0</v>
      </c>
    </row>
    <row r="300">
      <c r="A300" s="4">
        <v>43580.0</v>
      </c>
      <c r="B300" s="1">
        <v>701.0</v>
      </c>
    </row>
    <row r="301">
      <c r="A301" s="4">
        <v>43581.0</v>
      </c>
      <c r="B301" s="1">
        <v>684.0</v>
      </c>
    </row>
    <row r="302">
      <c r="A302" s="4">
        <v>43582.0</v>
      </c>
      <c r="B302" s="1">
        <v>667.0</v>
      </c>
    </row>
    <row r="303">
      <c r="A303" s="4">
        <v>43583.0</v>
      </c>
      <c r="B303" s="1">
        <v>677.0</v>
      </c>
    </row>
    <row r="304">
      <c r="A304" s="4">
        <v>43584.0</v>
      </c>
      <c r="B304" s="1">
        <v>697.0</v>
      </c>
    </row>
    <row r="305">
      <c r="A305" s="4">
        <v>43585.0</v>
      </c>
      <c r="B305" s="1">
        <v>680.0</v>
      </c>
    </row>
    <row r="306">
      <c r="A306" s="4">
        <v>43586.0</v>
      </c>
      <c r="B306" s="1">
        <v>643.0</v>
      </c>
    </row>
    <row r="307">
      <c r="A307" s="4">
        <v>43587.0</v>
      </c>
      <c r="B307" s="1">
        <v>667.0</v>
      </c>
    </row>
    <row r="308">
      <c r="A308" s="4">
        <v>43588.0</v>
      </c>
      <c r="B308" s="1">
        <v>657.0</v>
      </c>
    </row>
    <row r="309">
      <c r="A309" s="4">
        <v>43589.0</v>
      </c>
      <c r="B309" s="1">
        <v>630.0</v>
      </c>
    </row>
    <row r="310">
      <c r="A310" s="4">
        <v>43590.0</v>
      </c>
      <c r="B310" s="1">
        <v>680.0</v>
      </c>
    </row>
    <row r="311">
      <c r="A311" s="4">
        <v>43591.0</v>
      </c>
      <c r="B311" s="1">
        <v>707.0</v>
      </c>
    </row>
    <row r="312">
      <c r="A312" s="4">
        <v>43592.0</v>
      </c>
      <c r="B312" s="1">
        <v>667.0</v>
      </c>
    </row>
    <row r="313">
      <c r="A313" s="4">
        <v>43593.0</v>
      </c>
      <c r="B313" s="1">
        <v>698.0</v>
      </c>
    </row>
    <row r="314">
      <c r="A314" s="4">
        <v>43594.0</v>
      </c>
      <c r="B314" s="1">
        <v>668.0</v>
      </c>
    </row>
    <row r="315">
      <c r="A315" s="4">
        <v>43595.0</v>
      </c>
      <c r="B315" s="1">
        <v>665.0</v>
      </c>
    </row>
    <row r="316">
      <c r="A316" s="4">
        <v>43596.0</v>
      </c>
      <c r="B316" s="1">
        <v>679.0</v>
      </c>
    </row>
    <row r="317">
      <c r="A317" s="4">
        <v>43597.0</v>
      </c>
      <c r="B317" s="1">
        <v>687.0</v>
      </c>
    </row>
    <row r="318">
      <c r="A318" s="4">
        <v>43598.0</v>
      </c>
      <c r="B318" s="1">
        <v>638.0</v>
      </c>
    </row>
    <row r="319">
      <c r="A319" s="4">
        <v>43599.0</v>
      </c>
      <c r="B319" s="1">
        <v>705.0</v>
      </c>
    </row>
    <row r="320">
      <c r="A320" s="4">
        <v>43600.0</v>
      </c>
      <c r="B320" s="1">
        <v>632.0</v>
      </c>
    </row>
    <row r="321">
      <c r="A321" s="4">
        <v>43601.0</v>
      </c>
      <c r="B321" s="1">
        <v>664.0</v>
      </c>
    </row>
    <row r="322">
      <c r="A322" s="4">
        <v>43602.0</v>
      </c>
      <c r="B322" s="1">
        <v>652.0</v>
      </c>
    </row>
    <row r="323">
      <c r="A323" s="4">
        <v>43603.0</v>
      </c>
      <c r="B323" s="1">
        <v>626.0</v>
      </c>
    </row>
    <row r="324">
      <c r="A324" s="4">
        <v>43604.0</v>
      </c>
      <c r="B324" s="1">
        <v>730.0</v>
      </c>
    </row>
    <row r="325">
      <c r="A325" s="4">
        <v>43605.0</v>
      </c>
      <c r="B325" s="1">
        <v>707.0</v>
      </c>
    </row>
    <row r="326">
      <c r="A326" s="4">
        <v>43606.0</v>
      </c>
      <c r="B326" s="1">
        <v>671.0</v>
      </c>
    </row>
    <row r="327">
      <c r="A327" s="4">
        <v>43607.0</v>
      </c>
      <c r="B327" s="1">
        <v>687.0</v>
      </c>
    </row>
    <row r="328">
      <c r="A328" s="4">
        <v>43608.0</v>
      </c>
      <c r="B328" s="1">
        <v>633.0</v>
      </c>
    </row>
    <row r="329">
      <c r="A329" s="4">
        <v>43609.0</v>
      </c>
      <c r="B329" s="1">
        <v>691.0</v>
      </c>
    </row>
    <row r="330">
      <c r="A330" s="4">
        <v>43610.0</v>
      </c>
      <c r="B330" s="1">
        <v>705.0</v>
      </c>
    </row>
    <row r="331">
      <c r="A331" s="4">
        <v>43611.0</v>
      </c>
      <c r="B331" s="1">
        <v>648.0</v>
      </c>
    </row>
    <row r="332">
      <c r="A332" s="4">
        <v>43612.0</v>
      </c>
      <c r="B332" s="1">
        <v>665.0</v>
      </c>
    </row>
    <row r="333">
      <c r="A333" s="4">
        <v>43613.0</v>
      </c>
      <c r="B333" s="1">
        <v>683.0</v>
      </c>
    </row>
    <row r="334">
      <c r="A334" s="4">
        <v>43614.0</v>
      </c>
      <c r="B334" s="1">
        <v>714.0</v>
      </c>
    </row>
    <row r="335">
      <c r="A335" s="4">
        <v>43615.0</v>
      </c>
      <c r="B335" s="1">
        <v>669.0</v>
      </c>
    </row>
    <row r="336">
      <c r="A336" s="4">
        <v>43616.0</v>
      </c>
      <c r="B336" s="1">
        <v>664.0</v>
      </c>
    </row>
    <row r="337">
      <c r="A337" s="4">
        <v>43617.0</v>
      </c>
      <c r="B337" s="1">
        <v>682.0</v>
      </c>
    </row>
    <row r="338">
      <c r="A338" s="4">
        <v>43618.0</v>
      </c>
      <c r="B338" s="1">
        <v>662.0</v>
      </c>
    </row>
    <row r="339">
      <c r="A339" s="4">
        <v>43619.0</v>
      </c>
      <c r="B339" s="1">
        <v>656.0</v>
      </c>
    </row>
    <row r="340">
      <c r="A340" s="4">
        <v>43620.0</v>
      </c>
      <c r="B340" s="1">
        <v>637.0</v>
      </c>
    </row>
    <row r="341">
      <c r="A341" s="4">
        <v>43621.0</v>
      </c>
      <c r="B341" s="1">
        <v>680.0</v>
      </c>
    </row>
    <row r="342">
      <c r="A342" s="4">
        <v>43622.0</v>
      </c>
      <c r="B342" s="1">
        <v>700.0</v>
      </c>
    </row>
    <row r="343">
      <c r="A343" s="4">
        <v>43623.0</v>
      </c>
      <c r="B343" s="1">
        <v>762.0</v>
      </c>
    </row>
    <row r="344">
      <c r="A344" s="4">
        <v>43624.0</v>
      </c>
      <c r="B344" s="1">
        <v>699.0</v>
      </c>
    </row>
    <row r="345">
      <c r="A345" s="4">
        <v>43625.0</v>
      </c>
      <c r="B345" s="1">
        <v>718.0</v>
      </c>
    </row>
    <row r="346">
      <c r="A346" s="4">
        <v>43626.0</v>
      </c>
      <c r="B346" s="1">
        <v>676.0</v>
      </c>
    </row>
    <row r="347">
      <c r="A347" s="4">
        <v>43627.0</v>
      </c>
      <c r="B347" s="1">
        <v>634.0</v>
      </c>
    </row>
    <row r="348">
      <c r="A348" s="4">
        <v>43628.0</v>
      </c>
      <c r="B348" s="1">
        <v>709.0</v>
      </c>
    </row>
    <row r="349">
      <c r="A349" s="4">
        <v>43629.0</v>
      </c>
      <c r="B349" s="1">
        <v>607.0</v>
      </c>
    </row>
    <row r="350">
      <c r="A350" s="4">
        <v>43630.0</v>
      </c>
      <c r="B350" s="1">
        <v>743.0</v>
      </c>
    </row>
    <row r="351">
      <c r="A351" s="4">
        <v>43631.0</v>
      </c>
      <c r="B351" s="1">
        <v>724.0</v>
      </c>
    </row>
    <row r="352">
      <c r="A352" s="4">
        <v>43632.0</v>
      </c>
      <c r="B352" s="1">
        <v>690.0</v>
      </c>
    </row>
    <row r="353">
      <c r="A353" s="4">
        <v>43633.0</v>
      </c>
      <c r="B353" s="1">
        <v>658.0</v>
      </c>
    </row>
    <row r="354">
      <c r="A354" s="4">
        <v>43634.0</v>
      </c>
      <c r="B354" s="1">
        <v>639.0</v>
      </c>
    </row>
    <row r="355">
      <c r="A355" s="4">
        <v>43635.0</v>
      </c>
      <c r="B355" s="1">
        <v>662.0</v>
      </c>
    </row>
    <row r="356">
      <c r="A356" s="4">
        <v>43636.0</v>
      </c>
      <c r="B356" s="1">
        <v>698.0</v>
      </c>
    </row>
    <row r="357">
      <c r="A357" s="4">
        <v>43637.0</v>
      </c>
      <c r="B357" s="1">
        <v>716.0</v>
      </c>
    </row>
    <row r="358">
      <c r="A358" s="4">
        <v>43638.0</v>
      </c>
      <c r="B358" s="1">
        <v>643.0</v>
      </c>
    </row>
    <row r="359">
      <c r="A359" s="4">
        <v>43639.0</v>
      </c>
      <c r="B359" s="1">
        <v>653.0</v>
      </c>
    </row>
    <row r="360">
      <c r="A360" s="4">
        <v>43640.0</v>
      </c>
      <c r="B360" s="1">
        <v>612.0</v>
      </c>
    </row>
    <row r="361">
      <c r="A361" s="4">
        <v>43641.0</v>
      </c>
      <c r="B361" s="1">
        <v>696.0</v>
      </c>
    </row>
    <row r="362">
      <c r="A362" s="4">
        <v>43642.0</v>
      </c>
      <c r="B362" s="1">
        <v>657.0</v>
      </c>
    </row>
    <row r="363">
      <c r="A363" s="4">
        <v>43643.0</v>
      </c>
      <c r="B363" s="1">
        <v>669.0</v>
      </c>
    </row>
    <row r="364">
      <c r="A364" s="4">
        <v>43644.0</v>
      </c>
      <c r="B364" s="1">
        <v>673.0</v>
      </c>
    </row>
    <row r="365">
      <c r="A365" s="4">
        <v>43645.0</v>
      </c>
      <c r="B365" s="1">
        <v>703.0</v>
      </c>
    </row>
    <row r="366">
      <c r="A366" s="4">
        <v>43646.0</v>
      </c>
      <c r="B366" s="1">
        <v>704.0</v>
      </c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>
      <c r="A2" s="1" t="s">
        <v>10</v>
      </c>
      <c r="B2" s="1" t="s">
        <v>11</v>
      </c>
      <c r="C2" s="1">
        <v>8883.0</v>
      </c>
      <c r="D2" s="1">
        <v>1474.0</v>
      </c>
      <c r="E2" s="1">
        <v>6.02645861601085</v>
      </c>
      <c r="F2" s="1">
        <v>33345.7</v>
      </c>
      <c r="G2" s="1">
        <v>3.75387819430372</v>
      </c>
    </row>
    <row r="3">
      <c r="A3" s="1" t="s">
        <v>10</v>
      </c>
      <c r="B3" s="1" t="s">
        <v>12</v>
      </c>
      <c r="C3" s="1">
        <v>21213.0</v>
      </c>
      <c r="D3" s="1">
        <v>3298.0</v>
      </c>
      <c r="E3" s="1">
        <v>6.43208004851425</v>
      </c>
      <c r="F3" s="1">
        <v>84734.25</v>
      </c>
      <c r="G3" s="1">
        <v>3.99444915853486</v>
      </c>
    </row>
    <row r="4">
      <c r="A4" s="1" t="s">
        <v>10</v>
      </c>
      <c r="B4" s="1" t="s">
        <v>13</v>
      </c>
      <c r="C4" s="1">
        <v>14400.0</v>
      </c>
      <c r="D4" s="1">
        <v>2369.0</v>
      </c>
      <c r="E4" s="1">
        <v>6.07851414098775</v>
      </c>
      <c r="F4" s="1">
        <v>54443.85</v>
      </c>
      <c r="G4" s="1">
        <v>3.78082291666666</v>
      </c>
    </row>
    <row r="5">
      <c r="A5" s="1" t="s">
        <v>14</v>
      </c>
      <c r="B5" s="1" t="s">
        <v>11</v>
      </c>
      <c r="C5" s="1">
        <v>5241.0</v>
      </c>
      <c r="D5" s="1">
        <v>1087.0</v>
      </c>
      <c r="E5" s="1">
        <v>4.82152713891444</v>
      </c>
      <c r="F5" s="1">
        <v>20607.45</v>
      </c>
      <c r="G5" s="1">
        <v>3.93196908986834</v>
      </c>
    </row>
    <row r="6">
      <c r="A6" s="1" t="s">
        <v>14</v>
      </c>
      <c r="B6" s="1" t="s">
        <v>12</v>
      </c>
      <c r="C6" s="1">
        <v>4060.0</v>
      </c>
      <c r="D6" s="1">
        <v>830.0</v>
      </c>
      <c r="E6" s="1">
        <v>4.89156626506024</v>
      </c>
      <c r="F6" s="1">
        <v>15979.7</v>
      </c>
      <c r="G6" s="1">
        <v>3.93588669950738</v>
      </c>
    </row>
    <row r="7">
      <c r="A7" s="1" t="s">
        <v>14</v>
      </c>
      <c r="B7" s="1" t="s">
        <v>13</v>
      </c>
      <c r="C7" s="1">
        <v>2769.0</v>
      </c>
      <c r="D7" s="1">
        <v>575.0</v>
      </c>
      <c r="E7" s="1">
        <v>4.81565217391304</v>
      </c>
      <c r="F7" s="1">
        <v>10760.8</v>
      </c>
      <c r="G7" s="1">
        <v>3.88616829180209</v>
      </c>
    </row>
    <row r="8">
      <c r="A8" s="1" t="s">
        <v>15</v>
      </c>
      <c r="B8" s="1" t="s">
        <v>11</v>
      </c>
      <c r="C8" s="1">
        <v>41853.0</v>
      </c>
      <c r="D8" s="1">
        <v>4611.0</v>
      </c>
      <c r="E8" s="1">
        <v>9.07677293428757</v>
      </c>
      <c r="F8" s="1">
        <v>156863.75</v>
      </c>
      <c r="G8" s="1">
        <v>3.74796908226411</v>
      </c>
    </row>
    <row r="9">
      <c r="A9" s="1" t="s">
        <v>15</v>
      </c>
      <c r="B9" s="1" t="s">
        <v>12</v>
      </c>
      <c r="C9" s="1">
        <v>25804.0</v>
      </c>
      <c r="D9" s="1">
        <v>2788.0</v>
      </c>
      <c r="E9" s="1">
        <v>9.25538020086083</v>
      </c>
      <c r="F9" s="1">
        <v>96413.55</v>
      </c>
      <c r="G9" s="1">
        <v>3.73638001860176</v>
      </c>
    </row>
    <row r="10">
      <c r="A10" s="1" t="s">
        <v>15</v>
      </c>
      <c r="B10" s="1" t="s">
        <v>13</v>
      </c>
      <c r="C10" s="1">
        <v>20239.0</v>
      </c>
      <c r="D10" s="1">
        <v>2231.0</v>
      </c>
      <c r="E10" s="1">
        <v>9.0717167189601</v>
      </c>
      <c r="F10" s="1">
        <v>75242.6</v>
      </c>
      <c r="G10" s="1">
        <v>3.71770344384604</v>
      </c>
    </row>
    <row r="11">
      <c r="A11" s="1" t="s">
        <v>16</v>
      </c>
      <c r="B11" s="1" t="s">
        <v>11</v>
      </c>
      <c r="C11" s="1">
        <v>32883.0</v>
      </c>
      <c r="D11" s="1">
        <v>4849.0</v>
      </c>
      <c r="E11" s="1">
        <v>6.78139822643844</v>
      </c>
      <c r="F11" s="1">
        <v>127833.6</v>
      </c>
      <c r="G11" s="1">
        <v>3.88752851017242</v>
      </c>
    </row>
    <row r="12">
      <c r="A12" s="1" t="s">
        <v>16</v>
      </c>
      <c r="B12" s="1" t="s">
        <v>12</v>
      </c>
      <c r="C12" s="1">
        <v>32607.0</v>
      </c>
      <c r="D12" s="1">
        <v>4858.0</v>
      </c>
      <c r="E12" s="1">
        <v>6.71202140798682</v>
      </c>
      <c r="F12" s="1">
        <v>124648.5</v>
      </c>
      <c r="G12" s="1">
        <v>3.82275278314472</v>
      </c>
    </row>
    <row r="13">
      <c r="A13" s="1" t="s">
        <v>16</v>
      </c>
      <c r="B13" s="1" t="s">
        <v>13</v>
      </c>
      <c r="C13" s="1">
        <v>31695.0</v>
      </c>
      <c r="D13" s="1">
        <v>4682.0</v>
      </c>
      <c r="E13" s="1">
        <v>6.76954293037163</v>
      </c>
      <c r="F13" s="1">
        <v>123537.55</v>
      </c>
      <c r="G13" s="1">
        <v>3.89769837513803</v>
      </c>
    </row>
    <row r="14">
      <c r="A14" s="1" t="s">
        <v>17</v>
      </c>
      <c r="B14" s="1" t="s">
        <v>11</v>
      </c>
      <c r="C14" s="1">
        <v>26932.0</v>
      </c>
      <c r="D14" s="1">
        <v>4385.0</v>
      </c>
      <c r="E14" s="1">
        <v>6.1418472063854</v>
      </c>
      <c r="F14" s="1">
        <v>105916.3</v>
      </c>
      <c r="G14" s="1">
        <v>3.93273058072181</v>
      </c>
    </row>
    <row r="15">
      <c r="A15" s="1" t="s">
        <v>17</v>
      </c>
      <c r="B15" s="1" t="s">
        <v>12</v>
      </c>
      <c r="C15" s="1">
        <v>37677.0</v>
      </c>
      <c r="D15" s="1">
        <v>6358.0</v>
      </c>
      <c r="E15" s="1">
        <v>5.92592010066058</v>
      </c>
      <c r="F15" s="1">
        <v>145168.95</v>
      </c>
      <c r="G15" s="1">
        <v>3.85298590652122</v>
      </c>
    </row>
    <row r="16">
      <c r="A16" s="1" t="s">
        <v>17</v>
      </c>
      <c r="B16" s="1" t="s">
        <v>13</v>
      </c>
      <c r="C16" s="1">
        <v>23266.0</v>
      </c>
      <c r="D16" s="1">
        <v>3812.0</v>
      </c>
      <c r="E16" s="1">
        <v>6.10335781741867</v>
      </c>
      <c r="F16" s="1">
        <v>91296.65</v>
      </c>
      <c r="G16" s="1">
        <v>3.92403722169689</v>
      </c>
    </row>
    <row r="17">
      <c r="A17" s="1" t="s">
        <v>18</v>
      </c>
      <c r="B17" s="1" t="s">
        <v>11</v>
      </c>
      <c r="C17" s="1">
        <v>34482.0</v>
      </c>
      <c r="D17" s="1">
        <v>3953.0</v>
      </c>
      <c r="E17" s="1">
        <v>8.7229951935239</v>
      </c>
      <c r="F17" s="1">
        <v>129717.95</v>
      </c>
      <c r="G17" s="1">
        <v>3.76190331187286</v>
      </c>
    </row>
    <row r="18">
      <c r="A18" s="1" t="s">
        <v>18</v>
      </c>
      <c r="B18" s="1" t="s">
        <v>12</v>
      </c>
      <c r="C18" s="1">
        <v>23194.0</v>
      </c>
      <c r="D18" s="1">
        <v>2685.0</v>
      </c>
      <c r="E18" s="1">
        <v>8.63836126629422</v>
      </c>
      <c r="F18" s="1">
        <v>86338.25</v>
      </c>
      <c r="G18" s="1">
        <v>3.72243899284297</v>
      </c>
    </row>
    <row r="19">
      <c r="A19" s="1" t="s">
        <v>18</v>
      </c>
      <c r="B19" s="1" t="s">
        <v>13</v>
      </c>
      <c r="C19" s="1">
        <v>20901.0</v>
      </c>
      <c r="D19" s="1">
        <v>2398.0</v>
      </c>
      <c r="E19" s="1">
        <v>8.71601334445371</v>
      </c>
      <c r="F19" s="1">
        <v>78571.7</v>
      </c>
      <c r="G19" s="1">
        <v>3.75923161571216</v>
      </c>
    </row>
    <row r="20">
      <c r="A20" s="1" t="s">
        <v>19</v>
      </c>
      <c r="B20" s="1" t="s">
        <v>11</v>
      </c>
      <c r="C20" s="1">
        <v>15500.0</v>
      </c>
      <c r="D20" s="1">
        <v>3647.0</v>
      </c>
      <c r="E20" s="1">
        <v>4.25006854949273</v>
      </c>
      <c r="F20" s="1">
        <v>57122.1</v>
      </c>
      <c r="G20" s="1">
        <v>3.68529677419354</v>
      </c>
    </row>
    <row r="21">
      <c r="A21" s="1" t="s">
        <v>19</v>
      </c>
      <c r="B21" s="1" t="s">
        <v>12</v>
      </c>
      <c r="C21" s="1">
        <v>36225.0</v>
      </c>
      <c r="D21" s="1">
        <v>7917.0</v>
      </c>
      <c r="E21" s="1">
        <v>4.57559681697612</v>
      </c>
      <c r="F21" s="1">
        <v>147582.2</v>
      </c>
      <c r="G21" s="1">
        <v>4.07404278812974</v>
      </c>
    </row>
    <row r="22">
      <c r="A22" s="1" t="s">
        <v>19</v>
      </c>
      <c r="B22" s="1" t="s">
        <v>13</v>
      </c>
      <c r="C22" s="1">
        <v>10575.0</v>
      </c>
      <c r="D22" s="1">
        <v>2480.0</v>
      </c>
      <c r="E22" s="1">
        <v>4.2641129032258</v>
      </c>
      <c r="F22" s="1">
        <v>39052.3</v>
      </c>
      <c r="G22" s="1">
        <v>3.69288888888888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25"/>
  </cols>
  <sheetData>
    <row r="1"/>
    <row r="2"/>
    <row r="3"/>
    <row r="4"/>
    <row r="5"/>
    <row r="6"/>
    <row r="7"/>
    <row r="8"/>
    <row r="9"/>
    <row r="10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25"/>
  </cols>
  <sheetData>
    <row r="1"/>
    <row r="2"/>
    <row r="3"/>
    <row r="4"/>
    <row r="5"/>
    <row r="6"/>
    <row r="7"/>
    <row r="8"/>
    <row r="9"/>
    <row r="10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6</v>
      </c>
    </row>
    <row r="2">
      <c r="A2" s="1" t="s">
        <v>10</v>
      </c>
      <c r="B2" s="1" t="s">
        <v>11</v>
      </c>
      <c r="C2" s="1">
        <v>1474.0</v>
      </c>
    </row>
    <row r="3">
      <c r="A3" s="1" t="s">
        <v>10</v>
      </c>
      <c r="B3" s="1" t="s">
        <v>12</v>
      </c>
      <c r="C3" s="1">
        <v>3298.0</v>
      </c>
    </row>
    <row r="4">
      <c r="A4" s="1" t="s">
        <v>10</v>
      </c>
      <c r="B4" s="1" t="s">
        <v>13</v>
      </c>
      <c r="C4" s="1">
        <v>2369.0</v>
      </c>
    </row>
    <row r="5">
      <c r="A5" s="1" t="s">
        <v>14</v>
      </c>
      <c r="B5" s="1" t="s">
        <v>11</v>
      </c>
      <c r="C5" s="1">
        <v>1087.0</v>
      </c>
    </row>
    <row r="6">
      <c r="A6" s="1" t="s">
        <v>14</v>
      </c>
      <c r="B6" s="1" t="s">
        <v>12</v>
      </c>
      <c r="C6" s="1">
        <v>830.0</v>
      </c>
    </row>
    <row r="7">
      <c r="A7" s="1" t="s">
        <v>14</v>
      </c>
      <c r="B7" s="1" t="s">
        <v>13</v>
      </c>
      <c r="C7" s="1">
        <v>575.0</v>
      </c>
    </row>
    <row r="8">
      <c r="A8" s="1" t="s">
        <v>15</v>
      </c>
      <c r="B8" s="1" t="s">
        <v>11</v>
      </c>
      <c r="C8" s="1">
        <v>4611.0</v>
      </c>
    </row>
    <row r="9">
      <c r="A9" s="1" t="s">
        <v>15</v>
      </c>
      <c r="B9" s="1" t="s">
        <v>12</v>
      </c>
      <c r="C9" s="1">
        <v>2788.0</v>
      </c>
    </row>
    <row r="10">
      <c r="A10" s="1" t="s">
        <v>15</v>
      </c>
      <c r="B10" s="1" t="s">
        <v>13</v>
      </c>
      <c r="C10" s="1">
        <v>2231.0</v>
      </c>
    </row>
    <row r="11">
      <c r="A11" s="1" t="s">
        <v>16</v>
      </c>
      <c r="B11" s="1" t="s">
        <v>11</v>
      </c>
      <c r="C11" s="1">
        <v>4849.0</v>
      </c>
    </row>
    <row r="12">
      <c r="A12" s="1" t="s">
        <v>16</v>
      </c>
      <c r="B12" s="1" t="s">
        <v>12</v>
      </c>
      <c r="C12" s="1">
        <v>4858.0</v>
      </c>
    </row>
    <row r="13">
      <c r="A13" s="1" t="s">
        <v>16</v>
      </c>
      <c r="B13" s="1" t="s">
        <v>13</v>
      </c>
      <c r="C13" s="1">
        <v>4682.0</v>
      </c>
    </row>
    <row r="14">
      <c r="A14" s="1" t="s">
        <v>17</v>
      </c>
      <c r="B14" s="1" t="s">
        <v>11</v>
      </c>
      <c r="C14" s="1">
        <v>4385.0</v>
      </c>
    </row>
    <row r="15">
      <c r="A15" s="1" t="s">
        <v>17</v>
      </c>
      <c r="B15" s="1" t="s">
        <v>12</v>
      </c>
      <c r="C15" s="1">
        <v>6358.0</v>
      </c>
    </row>
    <row r="16">
      <c r="A16" s="1" t="s">
        <v>17</v>
      </c>
      <c r="B16" s="1" t="s">
        <v>13</v>
      </c>
      <c r="C16" s="1">
        <v>3812.0</v>
      </c>
    </row>
    <row r="17">
      <c r="A17" s="1" t="s">
        <v>18</v>
      </c>
      <c r="B17" s="1" t="s">
        <v>11</v>
      </c>
      <c r="C17" s="1">
        <v>3953.0</v>
      </c>
    </row>
    <row r="18">
      <c r="A18" s="1" t="s">
        <v>18</v>
      </c>
      <c r="B18" s="1" t="s">
        <v>12</v>
      </c>
      <c r="C18" s="1">
        <v>2685.0</v>
      </c>
    </row>
    <row r="19">
      <c r="A19" s="1" t="s">
        <v>18</v>
      </c>
      <c r="B19" s="1" t="s">
        <v>13</v>
      </c>
      <c r="C19" s="1">
        <v>2398.0</v>
      </c>
    </row>
    <row r="20">
      <c r="A20" s="1" t="s">
        <v>19</v>
      </c>
      <c r="B20" s="1" t="s">
        <v>11</v>
      </c>
      <c r="C20" s="1">
        <v>3647.0</v>
      </c>
    </row>
    <row r="21">
      <c r="A21" s="1" t="s">
        <v>19</v>
      </c>
      <c r="B21" s="1" t="s">
        <v>12</v>
      </c>
      <c r="C21" s="1">
        <v>7917.0</v>
      </c>
    </row>
    <row r="22">
      <c r="A22" s="1" t="s">
        <v>19</v>
      </c>
      <c r="B22" s="1" t="s">
        <v>13</v>
      </c>
      <c r="C22" s="1">
        <v>2480.0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24</v>
      </c>
      <c r="B1" s="1" t="s">
        <v>25</v>
      </c>
      <c r="C1" s="1" t="s">
        <v>26</v>
      </c>
    </row>
    <row r="2">
      <c r="A2" s="6">
        <v>43299.0</v>
      </c>
      <c r="B2" s="1">
        <v>268.4</v>
      </c>
      <c r="C2" s="1">
        <v>271.2</v>
      </c>
    </row>
    <row r="3">
      <c r="A3" s="6">
        <v>43330.0</v>
      </c>
      <c r="B3" s="1">
        <v>247.5</v>
      </c>
      <c r="C3" s="1">
        <v>260.7</v>
      </c>
    </row>
    <row r="4">
      <c r="A4" s="6">
        <v>43361.0</v>
      </c>
      <c r="B4" s="1">
        <v>216.8</v>
      </c>
      <c r="C4" s="1">
        <v>220.9</v>
      </c>
    </row>
    <row r="5">
      <c r="A5" s="6">
        <v>43391.0</v>
      </c>
      <c r="B5" s="1">
        <v>194.3</v>
      </c>
      <c r="C5" s="1">
        <v>159.3</v>
      </c>
    </row>
    <row r="6">
      <c r="A6" s="6">
        <v>43422.0</v>
      </c>
      <c r="B6" s="1">
        <v>224.9</v>
      </c>
      <c r="C6" s="1">
        <v>206.5</v>
      </c>
    </row>
    <row r="7">
      <c r="A7" s="6">
        <v>43452.0</v>
      </c>
      <c r="B7" s="1">
        <v>255.2</v>
      </c>
      <c r="C7" s="1">
        <v>265.4</v>
      </c>
    </row>
    <row r="8">
      <c r="A8" s="6">
        <v>43484.0</v>
      </c>
      <c r="B8" s="1">
        <v>188.4</v>
      </c>
      <c r="C8" s="1">
        <v>150.5</v>
      </c>
    </row>
    <row r="9">
      <c r="A9" s="1" t="s">
        <v>24</v>
      </c>
      <c r="B9" s="1" t="s">
        <v>27</v>
      </c>
      <c r="C9" s="1" t="s">
        <v>28</v>
      </c>
    </row>
    <row r="10">
      <c r="A10" s="7">
        <v>43299.0</v>
      </c>
      <c r="B10" s="1">
        <v>47.0</v>
      </c>
      <c r="C10" s="1">
        <v>47.0</v>
      </c>
    </row>
    <row r="11">
      <c r="A11" s="7">
        <v>43330.0</v>
      </c>
      <c r="B11" s="1">
        <v>46.0</v>
      </c>
      <c r="C11" s="1">
        <v>44.0</v>
      </c>
    </row>
    <row r="12">
      <c r="A12" s="7">
        <v>43361.0</v>
      </c>
      <c r="B12" s="1">
        <v>40.0</v>
      </c>
      <c r="C12" s="1">
        <v>40.0</v>
      </c>
    </row>
    <row r="13">
      <c r="A13" s="7">
        <v>43391.0</v>
      </c>
      <c r="B13" s="1">
        <v>36.0</v>
      </c>
      <c r="C13" s="1">
        <v>32.0</v>
      </c>
    </row>
    <row r="14">
      <c r="A14" s="7">
        <v>43422.0</v>
      </c>
      <c r="B14" s="1">
        <v>39.0</v>
      </c>
      <c r="C14" s="1">
        <v>39.0</v>
      </c>
    </row>
    <row r="15">
      <c r="A15" s="7">
        <v>43452.0</v>
      </c>
      <c r="B15" s="1">
        <v>43.0</v>
      </c>
      <c r="C15" s="1">
        <v>43.0</v>
      </c>
    </row>
    <row r="16">
      <c r="A16" s="7">
        <v>43484.0</v>
      </c>
      <c r="B16" s="1">
        <v>31.0</v>
      </c>
      <c r="C16" s="1">
        <v>31.0</v>
      </c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24</v>
      </c>
      <c r="B1" s="1" t="s">
        <v>29</v>
      </c>
      <c r="C1" s="1" t="s">
        <v>30</v>
      </c>
      <c r="D1" s="1" t="s">
        <v>31</v>
      </c>
      <c r="E1" s="1" t="s">
        <v>32</v>
      </c>
    </row>
    <row r="2">
      <c r="A2" s="7">
        <v>43484.0</v>
      </c>
      <c r="B2" s="1">
        <v>188.4</v>
      </c>
      <c r="C2" s="1">
        <v>156.482730531117</v>
      </c>
      <c r="D2" s="1">
        <v>120.392380435713</v>
      </c>
      <c r="E2" s="1">
        <v>192.573080626522</v>
      </c>
    </row>
    <row r="3">
      <c r="A3" s="7">
        <v>43515.0</v>
      </c>
      <c r="B3" s="1">
        <v>211.6</v>
      </c>
      <c r="C3" s="1">
        <v>229.473346366894</v>
      </c>
      <c r="D3" s="1">
        <v>176.548826326656</v>
      </c>
      <c r="E3" s="1">
        <v>282.397866407132</v>
      </c>
    </row>
    <row r="4">
      <c r="A4" s="7">
        <v>43543.0</v>
      </c>
      <c r="B4" s="1">
        <v>255.1</v>
      </c>
      <c r="C4" s="1">
        <v>187.779276637341</v>
      </c>
      <c r="D4" s="1">
        <v>144.470856522855</v>
      </c>
      <c r="E4" s="1">
        <v>231.087696751826</v>
      </c>
    </row>
    <row r="5">
      <c r="A5" s="7">
        <v>43574.0</v>
      </c>
      <c r="B5" s="1">
        <v>258.1</v>
      </c>
      <c r="C5" s="1">
        <v>149.932290648419</v>
      </c>
      <c r="D5" s="1">
        <v>115.352699394218</v>
      </c>
      <c r="E5" s="1">
        <v>184.511881902621</v>
      </c>
    </row>
    <row r="6">
      <c r="A6" s="7">
        <v>43604.0</v>
      </c>
      <c r="B6" s="1">
        <v>272.3</v>
      </c>
      <c r="C6" s="1">
        <v>324.506712284131</v>
      </c>
      <c r="D6" s="1">
        <v>249.664198896917</v>
      </c>
      <c r="E6" s="1">
        <v>399.349225671346</v>
      </c>
    </row>
    <row r="7">
      <c r="A7" s="7">
        <v>43635.0</v>
      </c>
      <c r="B7" s="1">
        <v>246.6</v>
      </c>
      <c r="C7" s="1">
        <v>204.831215379602</v>
      </c>
      <c r="D7" s="1">
        <v>157.590026218175</v>
      </c>
      <c r="E7" s="1">
        <v>252.072404541029</v>
      </c>
    </row>
    <row r="8">
      <c r="A8" s="1" t="s">
        <v>24</v>
      </c>
      <c r="B8" s="1" t="s">
        <v>29</v>
      </c>
      <c r="C8" s="1" t="s">
        <v>30</v>
      </c>
      <c r="D8" s="1" t="s">
        <v>31</v>
      </c>
      <c r="E8" s="1" t="s">
        <v>32</v>
      </c>
    </row>
    <row r="9">
      <c r="A9" s="7">
        <v>43484.0</v>
      </c>
      <c r="B9" s="1">
        <v>31.0</v>
      </c>
      <c r="C9" s="1">
        <v>31.6739130434782</v>
      </c>
      <c r="D9" s="1">
        <v>28.8838434567708</v>
      </c>
      <c r="E9" s="1">
        <v>34.4639826301856</v>
      </c>
    </row>
    <row r="10">
      <c r="A10" s="7">
        <v>43515.0</v>
      </c>
      <c r="B10" s="1">
        <v>40.0</v>
      </c>
      <c r="C10" s="1">
        <v>42.9130434782608</v>
      </c>
      <c r="D10" s="1">
        <v>39.132949199496</v>
      </c>
      <c r="E10" s="1">
        <v>46.6931377570257</v>
      </c>
    </row>
    <row r="11">
      <c r="A11" s="7">
        <v>43543.0</v>
      </c>
      <c r="B11" s="1">
        <v>46.0</v>
      </c>
      <c r="C11" s="1">
        <v>35.7608695652174</v>
      </c>
      <c r="D11" s="1">
        <v>32.61079099958</v>
      </c>
      <c r="E11" s="1">
        <v>38.9109481308547</v>
      </c>
    </row>
    <row r="12">
      <c r="A12" s="7">
        <v>43574.0</v>
      </c>
      <c r="B12" s="1">
        <v>47.0</v>
      </c>
      <c r="C12" s="1">
        <v>27.5869565217391</v>
      </c>
      <c r="D12" s="1">
        <v>25.1568959139617</v>
      </c>
      <c r="E12" s="1">
        <v>30.0170171295165</v>
      </c>
    </row>
    <row r="13">
      <c r="A13" s="7">
        <v>43604.0</v>
      </c>
      <c r="B13" s="1">
        <v>53.0</v>
      </c>
      <c r="C13" s="1">
        <v>55.1739130434782</v>
      </c>
      <c r="D13" s="1">
        <v>50.3137918279234</v>
      </c>
      <c r="E13" s="1">
        <v>60.034034259033</v>
      </c>
    </row>
    <row r="14">
      <c r="A14" s="7">
        <v>43635.0</v>
      </c>
      <c r="B14" s="1">
        <v>38.0</v>
      </c>
      <c r="C14" s="1">
        <v>34.7391304347826</v>
      </c>
      <c r="D14" s="1">
        <v>31.6790541138777</v>
      </c>
      <c r="E14" s="1">
        <v>37.7992067556874</v>
      </c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